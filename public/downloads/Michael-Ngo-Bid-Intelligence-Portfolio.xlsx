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qualityfloorshine-my.sharepoint.com/personal/michaeln_qfs_net/Documents/MN Project/"/>
    </mc:Choice>
  </mc:AlternateContent>
  <xr:revisionPtr revIDLastSave="55" documentId="11_07AEDAD749D1CDBF2AE4299CA6BBDE712F8C5F1D" xr6:coauthVersionLast="47" xr6:coauthVersionMax="47" xr10:uidLastSave="{13149EC0-70F4-401D-B6A3-53F5DB2F5117}"/>
  <bookViews>
    <workbookView xWindow="38290" yWindow="-110" windowWidth="38620" windowHeight="21100" tabRatio="632" activeTab="4" xr2:uid="{00000000-000D-0000-FFFF-FFFF00000000}"/>
  </bookViews>
  <sheets>
    <sheet name="START HERE" sheetId="1" r:id="rId1"/>
    <sheet name="1. Opportunity Register" sheetId="3" r:id="rId2"/>
    <sheet name="2. Executive Dashboard" sheetId="5" r:id="rId3"/>
    <sheet name="3. Active Pipeline" sheetId="6" r:id="rId4"/>
    <sheet name="4. Bid-No-Bid Intelligence" sheetId="7" r:id="rId5"/>
    <sheet name="5. Post-Bid Analysis" sheetId="8" r:id="rId6"/>
    <sheet name="6. Workflow Intelligence" sheetId="9" r:id="rId7"/>
    <sheet name="7. Opportunity Detail" sheetId="10" r:id="rId8"/>
    <sheet name="8. Workflow Events" sheetId="4" r:id="rId9"/>
    <sheet name="Lists" sheetId="2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0" l="1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I30" i="9"/>
  <c r="B30" i="9"/>
  <c r="I29" i="9"/>
  <c r="B29" i="9"/>
  <c r="I28" i="9"/>
  <c r="B28" i="9"/>
  <c r="I27" i="9"/>
  <c r="B27" i="9"/>
  <c r="M4" i="9"/>
  <c r="E4" i="9"/>
  <c r="A4" i="9"/>
  <c r="I69" i="8"/>
  <c r="H69" i="8"/>
  <c r="G69" i="8"/>
  <c r="I68" i="8"/>
  <c r="H68" i="8"/>
  <c r="G68" i="8"/>
  <c r="I67" i="8"/>
  <c r="H67" i="8"/>
  <c r="G67" i="8"/>
  <c r="I66" i="8"/>
  <c r="G66" i="8"/>
  <c r="H66" i="8" s="1"/>
  <c r="I65" i="8"/>
  <c r="G65" i="8"/>
  <c r="H65" i="8" s="1"/>
  <c r="I64" i="8"/>
  <c r="H64" i="8"/>
  <c r="G64" i="8"/>
  <c r="I63" i="8"/>
  <c r="G63" i="8"/>
  <c r="H63" i="8" s="1"/>
  <c r="I62" i="8"/>
  <c r="G62" i="8"/>
  <c r="H62" i="8" s="1"/>
  <c r="I61" i="8"/>
  <c r="G61" i="8"/>
  <c r="H61" i="8" s="1"/>
  <c r="I60" i="8"/>
  <c r="G60" i="8"/>
  <c r="H60" i="8" s="1"/>
  <c r="I59" i="8"/>
  <c r="H59" i="8"/>
  <c r="G59" i="8"/>
  <c r="I58" i="8"/>
  <c r="G58" i="8"/>
  <c r="H58" i="8" s="1"/>
  <c r="I57" i="8"/>
  <c r="G57" i="8"/>
  <c r="H57" i="8" s="1"/>
  <c r="I56" i="8"/>
  <c r="G56" i="8"/>
  <c r="H56" i="8" s="1"/>
  <c r="I55" i="8"/>
  <c r="H55" i="8"/>
  <c r="G55" i="8"/>
  <c r="I54" i="8"/>
  <c r="H54" i="8"/>
  <c r="G54" i="8"/>
  <c r="I53" i="8"/>
  <c r="G53" i="8"/>
  <c r="H53" i="8" s="1"/>
  <c r="I52" i="8"/>
  <c r="H52" i="8"/>
  <c r="G52" i="8"/>
  <c r="I51" i="8"/>
  <c r="H51" i="8"/>
  <c r="G51" i="8"/>
  <c r="I50" i="8"/>
  <c r="G50" i="8"/>
  <c r="H50" i="8" s="1"/>
  <c r="I49" i="8"/>
  <c r="G49" i="8"/>
  <c r="H49" i="8" s="1"/>
  <c r="I48" i="8"/>
  <c r="G48" i="8"/>
  <c r="H48" i="8" s="1"/>
  <c r="I47" i="8"/>
  <c r="G47" i="8"/>
  <c r="H47" i="8" s="1"/>
  <c r="I46" i="8"/>
  <c r="G46" i="8"/>
  <c r="H46" i="8" s="1"/>
  <c r="I45" i="8"/>
  <c r="G45" i="8"/>
  <c r="H45" i="8" s="1"/>
  <c r="I44" i="8"/>
  <c r="G44" i="8"/>
  <c r="H44" i="8" s="1"/>
  <c r="I43" i="8"/>
  <c r="H43" i="8"/>
  <c r="G43" i="8"/>
  <c r="I42" i="8"/>
  <c r="G42" i="8"/>
  <c r="H42" i="8" s="1"/>
  <c r="I41" i="8"/>
  <c r="G41" i="8"/>
  <c r="H41" i="8" s="1"/>
  <c r="I29" i="8"/>
  <c r="A4" i="8"/>
  <c r="B35" i="7"/>
  <c r="B34" i="7"/>
  <c r="I33" i="7"/>
  <c r="B33" i="7"/>
  <c r="I32" i="7"/>
  <c r="B32" i="7"/>
  <c r="I31" i="7"/>
  <c r="B31" i="7"/>
  <c r="I30" i="7"/>
  <c r="B30" i="7"/>
  <c r="I29" i="7"/>
  <c r="B29" i="7"/>
  <c r="I4" i="7"/>
  <c r="A4" i="7"/>
  <c r="E4" i="7" s="1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H36" i="5"/>
  <c r="E36" i="5"/>
  <c r="D36" i="5"/>
  <c r="C36" i="5"/>
  <c r="B36" i="5"/>
  <c r="H35" i="5"/>
  <c r="E35" i="5"/>
  <c r="D35" i="5"/>
  <c r="C35" i="5"/>
  <c r="B35" i="5"/>
  <c r="H34" i="5"/>
  <c r="E34" i="5"/>
  <c r="D34" i="5"/>
  <c r="C34" i="5"/>
  <c r="B34" i="5"/>
  <c r="H33" i="5"/>
  <c r="E33" i="5"/>
  <c r="D33" i="5"/>
  <c r="C33" i="5"/>
  <c r="B33" i="5"/>
  <c r="H32" i="5"/>
  <c r="E32" i="5"/>
  <c r="D32" i="5"/>
  <c r="C32" i="5"/>
  <c r="B32" i="5"/>
  <c r="H31" i="5"/>
  <c r="E31" i="5"/>
  <c r="D31" i="5"/>
  <c r="C31" i="5"/>
  <c r="B31" i="5"/>
  <c r="M10" i="5"/>
  <c r="I10" i="5"/>
  <c r="E10" i="5"/>
  <c r="A10" i="5"/>
  <c r="J6" i="5"/>
  <c r="G6" i="5"/>
  <c r="M6" i="5" s="1"/>
  <c r="D6" i="5"/>
  <c r="A6" i="5"/>
  <c r="AM61" i="3"/>
  <c r="AL61" i="3"/>
  <c r="AK61" i="3"/>
  <c r="AJ61" i="3"/>
  <c r="AI61" i="3"/>
  <c r="AM60" i="3"/>
  <c r="AL60" i="3"/>
  <c r="AK60" i="3"/>
  <c r="AJ60" i="3"/>
  <c r="AI60" i="3"/>
  <c r="AM59" i="3"/>
  <c r="AL59" i="3"/>
  <c r="AK59" i="3"/>
  <c r="AJ59" i="3"/>
  <c r="AI59" i="3"/>
  <c r="AM58" i="3"/>
  <c r="AL58" i="3"/>
  <c r="AK58" i="3"/>
  <c r="AJ58" i="3"/>
  <c r="AI58" i="3"/>
  <c r="AM57" i="3"/>
  <c r="AL57" i="3"/>
  <c r="AK57" i="3"/>
  <c r="AJ57" i="3"/>
  <c r="AI57" i="3"/>
  <c r="AM56" i="3"/>
  <c r="AL56" i="3"/>
  <c r="AK56" i="3"/>
  <c r="AJ56" i="3"/>
  <c r="AI56" i="3"/>
  <c r="AM55" i="3"/>
  <c r="AL55" i="3"/>
  <c r="AK55" i="3"/>
  <c r="AJ55" i="3"/>
  <c r="AI55" i="3"/>
  <c r="AM54" i="3"/>
  <c r="AL54" i="3"/>
  <c r="AK54" i="3"/>
  <c r="AJ54" i="3"/>
  <c r="AI54" i="3"/>
  <c r="AM53" i="3"/>
  <c r="AL53" i="3"/>
  <c r="AK53" i="3"/>
  <c r="AJ53" i="3"/>
  <c r="AI53" i="3"/>
  <c r="AM52" i="3"/>
  <c r="AL52" i="3"/>
  <c r="AK52" i="3"/>
  <c r="AJ52" i="3"/>
  <c r="AI52" i="3"/>
  <c r="AM51" i="3"/>
  <c r="AL51" i="3"/>
  <c r="AK51" i="3"/>
  <c r="AJ51" i="3"/>
  <c r="AI51" i="3"/>
  <c r="AM50" i="3"/>
  <c r="AL50" i="3"/>
  <c r="AK50" i="3"/>
  <c r="AJ50" i="3"/>
  <c r="AI50" i="3"/>
  <c r="AM49" i="3"/>
  <c r="AL49" i="3"/>
  <c r="AK49" i="3"/>
  <c r="AJ49" i="3"/>
  <c r="AI49" i="3"/>
  <c r="AM48" i="3"/>
  <c r="AL48" i="3"/>
  <c r="AK48" i="3"/>
  <c r="AJ48" i="3"/>
  <c r="AI48" i="3"/>
  <c r="AM47" i="3"/>
  <c r="AL47" i="3"/>
  <c r="AK47" i="3"/>
  <c r="AJ47" i="3"/>
  <c r="AI47" i="3"/>
  <c r="AM46" i="3"/>
  <c r="AL46" i="3"/>
  <c r="AK46" i="3"/>
  <c r="AJ46" i="3"/>
  <c r="AI46" i="3"/>
  <c r="AM45" i="3"/>
  <c r="AL45" i="3"/>
  <c r="AK45" i="3"/>
  <c r="AJ45" i="3"/>
  <c r="AI45" i="3"/>
  <c r="AM44" i="3"/>
  <c r="AL44" i="3"/>
  <c r="AK44" i="3"/>
  <c r="AJ44" i="3"/>
  <c r="AI44" i="3"/>
  <c r="AM43" i="3"/>
  <c r="AL43" i="3"/>
  <c r="AK43" i="3"/>
  <c r="AJ43" i="3"/>
  <c r="AI43" i="3"/>
  <c r="AM42" i="3"/>
  <c r="AL42" i="3"/>
  <c r="AK42" i="3"/>
  <c r="AJ42" i="3"/>
  <c r="AI42" i="3"/>
  <c r="AM41" i="3"/>
  <c r="AL41" i="3"/>
  <c r="AK41" i="3"/>
  <c r="AJ41" i="3"/>
  <c r="AI41" i="3"/>
  <c r="AM40" i="3"/>
  <c r="AL40" i="3"/>
  <c r="AK40" i="3"/>
  <c r="AJ40" i="3"/>
  <c r="AI40" i="3"/>
  <c r="AM39" i="3"/>
  <c r="AL39" i="3"/>
  <c r="AK39" i="3"/>
  <c r="AJ39" i="3"/>
  <c r="AI39" i="3"/>
  <c r="AM38" i="3"/>
  <c r="AL38" i="3"/>
  <c r="AK38" i="3"/>
  <c r="AJ38" i="3"/>
  <c r="AI38" i="3"/>
  <c r="AM37" i="3"/>
  <c r="AL37" i="3"/>
  <c r="AK37" i="3"/>
  <c r="AJ37" i="3"/>
  <c r="AI37" i="3"/>
  <c r="AM36" i="3"/>
  <c r="AL36" i="3"/>
  <c r="AK36" i="3"/>
  <c r="AJ36" i="3"/>
  <c r="AI36" i="3"/>
  <c r="AM35" i="3"/>
  <c r="AL35" i="3"/>
  <c r="AK35" i="3"/>
  <c r="AJ35" i="3"/>
  <c r="AI35" i="3"/>
  <c r="AM34" i="3"/>
  <c r="AL34" i="3"/>
  <c r="AK34" i="3"/>
  <c r="AJ34" i="3"/>
  <c r="AI34" i="3"/>
  <c r="AM33" i="3"/>
  <c r="AL33" i="3"/>
  <c r="AK33" i="3"/>
  <c r="AJ33" i="3"/>
  <c r="AI33" i="3"/>
  <c r="AM32" i="3"/>
  <c r="AL32" i="3"/>
  <c r="AK32" i="3"/>
  <c r="AJ32" i="3"/>
  <c r="AI32" i="3"/>
  <c r="AM31" i="3"/>
  <c r="AL31" i="3"/>
  <c r="AK31" i="3"/>
  <c r="AJ31" i="3"/>
  <c r="AI31" i="3"/>
  <c r="AM30" i="3"/>
  <c r="AL30" i="3"/>
  <c r="AK30" i="3"/>
  <c r="AJ30" i="3"/>
  <c r="AI30" i="3"/>
  <c r="AM29" i="3"/>
  <c r="AL29" i="3"/>
  <c r="AK29" i="3"/>
  <c r="AJ29" i="3"/>
  <c r="AI29" i="3"/>
  <c r="AM28" i="3"/>
  <c r="AL28" i="3"/>
  <c r="AK28" i="3"/>
  <c r="AJ28" i="3"/>
  <c r="AI28" i="3"/>
  <c r="AM27" i="3"/>
  <c r="AL27" i="3"/>
  <c r="AK27" i="3"/>
  <c r="AJ27" i="3"/>
  <c r="AI27" i="3"/>
  <c r="AM26" i="3"/>
  <c r="AL26" i="3"/>
  <c r="AK26" i="3"/>
  <c r="AJ26" i="3"/>
  <c r="AI26" i="3"/>
  <c r="AM25" i="3"/>
  <c r="AL25" i="3"/>
  <c r="AK25" i="3"/>
  <c r="AJ25" i="3"/>
  <c r="AI25" i="3"/>
  <c r="AM24" i="3"/>
  <c r="AL24" i="3"/>
  <c r="AK24" i="3"/>
  <c r="AJ24" i="3"/>
  <c r="AI24" i="3"/>
  <c r="AM23" i="3"/>
  <c r="AL23" i="3"/>
  <c r="AK23" i="3"/>
  <c r="AJ23" i="3"/>
  <c r="AI23" i="3"/>
  <c r="AM22" i="3"/>
  <c r="AL22" i="3"/>
  <c r="AK22" i="3"/>
  <c r="AJ22" i="3"/>
  <c r="AI22" i="3"/>
  <c r="AM21" i="3"/>
  <c r="AL21" i="3"/>
  <c r="AK21" i="3"/>
  <c r="AJ21" i="3"/>
  <c r="AI21" i="3"/>
  <c r="AM20" i="3"/>
  <c r="AL20" i="3"/>
  <c r="AK20" i="3"/>
  <c r="AJ20" i="3"/>
  <c r="AI20" i="3"/>
  <c r="AM19" i="3"/>
  <c r="AL19" i="3"/>
  <c r="AK19" i="3"/>
  <c r="AJ19" i="3"/>
  <c r="AI19" i="3"/>
  <c r="AM18" i="3"/>
  <c r="AL18" i="3"/>
  <c r="AK18" i="3"/>
  <c r="AJ18" i="3"/>
  <c r="AI18" i="3"/>
  <c r="AM17" i="3"/>
  <c r="AL17" i="3"/>
  <c r="AK17" i="3"/>
  <c r="AJ17" i="3"/>
  <c r="AI17" i="3"/>
  <c r="AM16" i="3"/>
  <c r="AL16" i="3"/>
  <c r="AK16" i="3"/>
  <c r="AJ16" i="3"/>
  <c r="AI16" i="3"/>
  <c r="AM15" i="3"/>
  <c r="AL15" i="3"/>
  <c r="AK15" i="3"/>
  <c r="AJ15" i="3"/>
  <c r="AI15" i="3"/>
  <c r="AM14" i="3"/>
  <c r="AL14" i="3"/>
  <c r="AK14" i="3"/>
  <c r="AJ14" i="3"/>
  <c r="AI14" i="3"/>
  <c r="AM13" i="3"/>
  <c r="AL13" i="3"/>
  <c r="AK13" i="3"/>
  <c r="AJ13" i="3"/>
  <c r="B36" i="8" s="1"/>
  <c r="AI13" i="3"/>
  <c r="AM12" i="3"/>
  <c r="AL12" i="3"/>
  <c r="AK12" i="3"/>
  <c r="AJ12" i="3"/>
  <c r="B34" i="8" s="1"/>
  <c r="AI12" i="3"/>
  <c r="AM11" i="3"/>
  <c r="AL11" i="3"/>
  <c r="AK11" i="3"/>
  <c r="AJ11" i="3"/>
  <c r="AI11" i="3"/>
  <c r="AM10" i="3"/>
  <c r="AL10" i="3"/>
  <c r="AK10" i="3"/>
  <c r="AJ10" i="3"/>
  <c r="AI10" i="3"/>
  <c r="AM9" i="3"/>
  <c r="AL9" i="3"/>
  <c r="AK9" i="3"/>
  <c r="AJ9" i="3"/>
  <c r="AI9" i="3"/>
  <c r="AM8" i="3"/>
  <c r="AL8" i="3"/>
  <c r="AK8" i="3"/>
  <c r="AJ8" i="3"/>
  <c r="AI8" i="3"/>
  <c r="AM7" i="3"/>
  <c r="AL7" i="3"/>
  <c r="AK7" i="3"/>
  <c r="AJ7" i="3"/>
  <c r="B29" i="8" s="1"/>
  <c r="AI7" i="3"/>
  <c r="AM6" i="3"/>
  <c r="AL6" i="3"/>
  <c r="AK6" i="3"/>
  <c r="AJ6" i="3"/>
  <c r="B33" i="8" s="1"/>
  <c r="AI6" i="3"/>
  <c r="AM5" i="3"/>
  <c r="AL5" i="3"/>
  <c r="AK5" i="3"/>
  <c r="AJ5" i="3"/>
  <c r="B30" i="8" s="1"/>
  <c r="AI5" i="3"/>
  <c r="AM4" i="3"/>
  <c r="AL4" i="3"/>
  <c r="AK4" i="3"/>
  <c r="AJ4" i="3"/>
  <c r="B35" i="8" s="1"/>
  <c r="AI4" i="3"/>
  <c r="AM3" i="3"/>
  <c r="AL3" i="3"/>
  <c r="AK3" i="3"/>
  <c r="AJ3" i="3"/>
  <c r="B32" i="8" s="1"/>
  <c r="AI3" i="3"/>
  <c r="AM2" i="3"/>
  <c r="I4" i="9" s="1"/>
  <c r="AL2" i="3"/>
  <c r="AK2" i="3"/>
  <c r="AJ2" i="3"/>
  <c r="I31" i="8" s="1"/>
  <c r="AI2" i="3"/>
  <c r="E4" i="8" s="1"/>
  <c r="M4" i="7" l="1"/>
  <c r="I32" i="8"/>
  <c r="I4" i="8"/>
  <c r="M4" i="8"/>
  <c r="I30" i="8"/>
  <c r="B31" i="8"/>
</calcChain>
</file>

<file path=xl/sharedStrings.xml><?xml version="1.0" encoding="utf-8"?>
<sst xmlns="http://schemas.openxmlformats.org/spreadsheetml/2006/main" count="2999" uniqueCount="318">
  <si>
    <t>MICHAEL BID INTELLIGENCE PORTFOLIO</t>
  </si>
  <si>
    <t>Interactive fictional bid-management and business-intelligence demonstration | Created for Michael Ngo</t>
  </si>
  <si>
    <t>CONFIDENTIALITY NOTICE</t>
  </si>
  <si>
    <t>This workbook uses an entirely fictional dataset. Names, prices, opportunities, outcomes, contacts, and narratives were created as an original portfolio demonstration and do not reproduce employer data.</t>
  </si>
  <si>
    <t>BUSINESS PROBLEM</t>
  </si>
  <si>
    <t>Opportunity information often arrives through disconnected portals, emails, documents, and internal conversations. Without a structured system, leadership cannot reliably measure workload, pursuit quality, bottlenecks, pricing performance, or decision outcomes.</t>
  </si>
  <si>
    <t>MY APPROACH</t>
  </si>
  <si>
    <t>I designed a single-source bid register with controlled statuses, structured risk fields, workflow timing, bid/no-bid reasoning, submission tracking, and post-bid intelligence. Each analytical view is driven from that shared architecture.</t>
  </si>
  <si>
    <t>SOLUTION</t>
  </si>
  <si>
    <t>The workbook connects an executive dashboard, active pipeline, no-bid intelligence, post-bid analysis, workflow reporting, and opportunity detail view to one fictional 60-opportunity dataset.</t>
  </si>
  <si>
    <t>INSIGHTS DESIGNED INTO THE DATA</t>
  </si>
  <si>
    <t>Education and mid-sized custodial pursuits perform strongly; large integrated-facility bids show pricing pressure; distant and security opportunities drive no-bids; operational review is the clearest workflow bottleneck; specialty floor care is a promising niche.</t>
  </si>
  <si>
    <t>SKILLS DEMONSTRATED</t>
  </si>
  <si>
    <t>Bid Management • Procurement Analysis • Business Intelligence • Data Architecture • KPI Development • Workflow Design • Post-Bid Analysis • Executive Reporting • Process Improvement • Excel Automation</t>
  </si>
  <si>
    <t>Recommended navigation: Executive Dashboard → Active Pipeline → Bid-No-Bid Intelligence → Post-Bid Analysis → Workflow Intelligence → Opportunity Detail. Use the blue selector cells and Excel filters to interact with the model.</t>
  </si>
  <si>
    <t>Outcome</t>
  </si>
  <si>
    <t>Stage</t>
  </si>
  <si>
    <t>Service</t>
  </si>
  <si>
    <t>Market</t>
  </si>
  <si>
    <t>Owner</t>
  </si>
  <si>
    <t>Risk</t>
  </si>
  <si>
    <t>No-Bid Reason</t>
  </si>
  <si>
    <t>Client Type</t>
  </si>
  <si>
    <t>Won</t>
  </si>
  <si>
    <t>Initial Review</t>
  </si>
  <si>
    <t>Janitorial</t>
  </si>
  <si>
    <t>Metro NY</t>
  </si>
  <si>
    <t>Michael Ngo</t>
  </si>
  <si>
    <t>Low</t>
  </si>
  <si>
    <t>Geographic Distance</t>
  </si>
  <si>
    <t>Government</t>
  </si>
  <si>
    <t>Lost</t>
  </si>
  <si>
    <t>Operational Review</t>
  </si>
  <si>
    <t>Custodial</t>
  </si>
  <si>
    <t>North Jersey</t>
  </si>
  <si>
    <t>Avery Chen</t>
  </si>
  <si>
    <t>Medium</t>
  </si>
  <si>
    <t>Licensing Requirement</t>
  </si>
  <si>
    <t>Education</t>
  </si>
  <si>
    <t>Awaiting Award</t>
  </si>
  <si>
    <t>Pricing</t>
  </si>
  <si>
    <t>Facility Maintenance</t>
  </si>
  <si>
    <t>Hudson Valley</t>
  </si>
  <si>
    <t>Jordan Ellis</t>
  </si>
  <si>
    <t>High</t>
  </si>
  <si>
    <t>Scope Misalignment</t>
  </si>
  <si>
    <t>Commercial</t>
  </si>
  <si>
    <t>Submitted</t>
  </si>
  <si>
    <t>Proposal Development</t>
  </si>
  <si>
    <t>Pest Control</t>
  </si>
  <si>
    <t>Central Jersey</t>
  </si>
  <si>
    <t>Priya Shah</t>
  </si>
  <si>
    <t>Staffing / Operations Capacity</t>
  </si>
  <si>
    <t>No-Bid</t>
  </si>
  <si>
    <t>Landscaping</t>
  </si>
  <si>
    <t>Outer Region</t>
  </si>
  <si>
    <t>Insufficient Time</t>
  </si>
  <si>
    <t>In Progress</t>
  </si>
  <si>
    <t>Security</t>
  </si>
  <si>
    <t>Minimum Qualifications</t>
  </si>
  <si>
    <t>Closed – Awarded</t>
  </si>
  <si>
    <t>Post-Construction Cleaning</t>
  </si>
  <si>
    <t>Pricing / Margin Concern</t>
  </si>
  <si>
    <t>Closed – No-Bid</t>
  </si>
  <si>
    <t>Specialty Floor Care</t>
  </si>
  <si>
    <t>Opportunity ID</t>
  </si>
  <si>
    <t>Opportunity</t>
  </si>
  <si>
    <t>Client</t>
  </si>
  <si>
    <t>Identified Date</t>
  </si>
  <si>
    <t>Due Date</t>
  </si>
  <si>
    <t>Current Stage</t>
  </si>
  <si>
    <t>Approved Pursuit?</t>
  </si>
  <si>
    <t>Submitted?</t>
  </si>
  <si>
    <t>Est. Annual Value</t>
  </si>
  <si>
    <t>Est. Total Value</t>
  </si>
  <si>
    <t>Square Feet</t>
  </si>
  <si>
    <t>Site Count</t>
  </si>
  <si>
    <t>Term (Months)</t>
  </si>
  <si>
    <t>Prevailing Wage?</t>
  </si>
  <si>
    <t>Bond Required?</t>
  </si>
  <si>
    <t>Risk Level</t>
  </si>
  <si>
    <t>Decision Notes</t>
  </si>
  <si>
    <t>Submitted Price</t>
  </si>
  <si>
    <t>Winning Price</t>
  </si>
  <si>
    <t>Winner</t>
  </si>
  <si>
    <t>Incumbent</t>
  </si>
  <si>
    <t>Review Days</t>
  </si>
  <si>
    <t>Operational Review Days</t>
  </si>
  <si>
    <t>Pricing Days</t>
  </si>
  <si>
    <t>Proposal Days</t>
  </si>
  <si>
    <t>Decision Date</t>
  </si>
  <si>
    <t>Submitted Date</t>
  </si>
  <si>
    <t>Award Date</t>
  </si>
  <si>
    <t>Variance $</t>
  </si>
  <si>
    <t>Variance %</t>
  </si>
  <si>
    <t>Price / SF</t>
  </si>
  <si>
    <t>Days to Decision</t>
  </si>
  <si>
    <t>Proposal Turnaround</t>
  </si>
  <si>
    <t>Next Action</t>
  </si>
  <si>
    <t>Key Finding</t>
  </si>
  <si>
    <t>Reporting Month</t>
  </si>
  <si>
    <t>BID-001</t>
  </si>
  <si>
    <t>Daily Bugle Headquarters – Integrated Facility Operations</t>
  </si>
  <si>
    <t>Daily Bugle Headquarters</t>
  </si>
  <si>
    <t>No</t>
  </si>
  <si>
    <t>Declined because geographic distance reduced strategic or operational fit.</t>
  </si>
  <si>
    <t>Atlas Building Partners</t>
  </si>
  <si>
    <t>Document decision intelligence</t>
  </si>
  <si>
    <t>Resources were preserved for better-aligned pursuits.</t>
  </si>
  <si>
    <t>Sep 2025</t>
  </si>
  <si>
    <t>BID-002</t>
  </si>
  <si>
    <t>Metropolis Community College – Districtwide Pest Prevention</t>
  </si>
  <si>
    <t>Metropolis Community College</t>
  </si>
  <si>
    <t>Yes</t>
  </si>
  <si>
    <t>Pursuit aligned with the fictional bidder's service strategy; routine pursuit within demonstrated service and geographic capabilities.</t>
  </si>
  <si>
    <t>Wayne Municipal Services</t>
  </si>
  <si>
    <t>Blue Lantern Services</t>
  </si>
  <si>
    <t>Request debrief or tabulation</t>
  </si>
  <si>
    <t>Result provides a usable market benchmark for future pricing.</t>
  </si>
  <si>
    <t>BID-003</t>
  </si>
  <si>
    <t>Atlas County Services – Multi-Phase Final Clean</t>
  </si>
  <si>
    <t>Atlas County Services</t>
  </si>
  <si>
    <t>Sentinel Operations</t>
  </si>
  <si>
    <t>BID-004</t>
  </si>
  <si>
    <t>Orbit Retail Properties – Municipal Buildings Custodial Services</t>
  </si>
  <si>
    <t>Orbit Retail Properties</t>
  </si>
  <si>
    <t>Pinnacle Facility Care</t>
  </si>
  <si>
    <t>BID-005</t>
  </si>
  <si>
    <t>Stark Facilities Group – Grounds and Landscape Maintenance</t>
  </si>
  <si>
    <t>Stark Facilities Group</t>
  </si>
  <si>
    <t>Declined because insufficient time reduced strategic or operational fit.</t>
  </si>
  <si>
    <t>BID-006</t>
  </si>
  <si>
    <t>Atlas County Services – Multi-Site Evening Janitorial</t>
  </si>
  <si>
    <t>Oct 2025</t>
  </si>
  <si>
    <t>BID-007</t>
  </si>
  <si>
    <t>Orbit Retail Properties – Rodent Control Program</t>
  </si>
  <si>
    <t>BID-008</t>
  </si>
  <si>
    <t>Stark Facilities Group – New Facility Turnover Cleaning</t>
  </si>
  <si>
    <t>BID-009</t>
  </si>
  <si>
    <t>Parker Research Campus – Campus Custodial Services</t>
  </si>
  <si>
    <t>Parker Research Campus</t>
  </si>
  <si>
    <t>Declined because scope misalignment reduced strategic or operational fit.</t>
  </si>
  <si>
    <t>BID-010</t>
  </si>
  <si>
    <t>Beacon Preparatory Schools – Seasonal Grounds Services</t>
  </si>
  <si>
    <t>Beacon Preparatory Schools</t>
  </si>
  <si>
    <t>BID-011</t>
  </si>
  <si>
    <t>Stark Facilities Group – Event Security Coverage</t>
  </si>
  <si>
    <t>Pursuit aligned with the fictional bidder's service strategy; requires leadership review of operating model, compliance exposure, and staffing assumptions.</t>
  </si>
  <si>
    <t>Nov 2025</t>
  </si>
  <si>
    <t>BID-012</t>
  </si>
  <si>
    <t>Parker Research Campus – Carpet and Floor Renewal</t>
  </si>
  <si>
    <t>BID-013</t>
  </si>
  <si>
    <t>Beacon Preparatory Schools – Final Construction Cleaning</t>
  </si>
  <si>
    <t>BID-014</t>
  </si>
  <si>
    <t>Wayne Municipal Services – Technical Building Maintenance</t>
  </si>
  <si>
    <t>Price exceeded the market benchmark, suggesting conservative staffing or risk assumptions.</t>
  </si>
  <si>
    <t>BID-015</t>
  </si>
  <si>
    <t>Emerald City Administrative Center – Campus Landscape Program</t>
  </si>
  <si>
    <t>Emerald City Administrative Center</t>
  </si>
  <si>
    <t>BID-016</t>
  </si>
  <si>
    <t>Beacon Preparatory Schools – Public Offices Custodial Support</t>
  </si>
  <si>
    <t>Dec 2025</t>
  </si>
  <si>
    <t>BID-017</t>
  </si>
  <si>
    <t>Wayne Municipal Services – Integrated Pest Management</t>
  </si>
  <si>
    <t>Declined because minimum qualifications reduced strategic or operational fit.</t>
  </si>
  <si>
    <t>BID-018</t>
  </si>
  <si>
    <t>Emerald City Administrative Center – Renovation Closeout Cleaning</t>
  </si>
  <si>
    <t>BID-019</t>
  </si>
  <si>
    <t>Keystone Civic Complex – Civic Center Custodial Program</t>
  </si>
  <si>
    <t>Keystone Civic Complex</t>
  </si>
  <si>
    <t>BID-020</t>
  </si>
  <si>
    <t>Gotham Public Schools – Municipal Grounds Care</t>
  </si>
  <si>
    <t>Gotham Public Schools</t>
  </si>
  <si>
    <t>BID-021</t>
  </si>
  <si>
    <t>Emerald City Administrative Center – Unarmed Guard Services</t>
  </si>
  <si>
    <t>Jan 2026</t>
  </si>
  <si>
    <t>BID-022</t>
  </si>
  <si>
    <t>Keystone Civic Complex – Districtwide Pest Prevention</t>
  </si>
  <si>
    <t>BID-023</t>
  </si>
  <si>
    <t>Gotham Public Schools – Districtwide Floor Services</t>
  </si>
  <si>
    <t>Michael BidWorks</t>
  </si>
  <si>
    <t>Prepare transition brief</t>
  </si>
  <si>
    <t>Competitive positioning and scope fit supported award.</t>
  </si>
  <si>
    <t>BID-024</t>
  </si>
  <si>
    <t>Northstar Charter Network – Municipal Buildings Custodial Services</t>
  </si>
  <si>
    <t>Northstar Charter Network</t>
  </si>
  <si>
    <t>BID-025</t>
  </si>
  <si>
    <t>Harborlight Medical Offices – Grounds and Landscape Maintenance</t>
  </si>
  <si>
    <t>Harborlight Medical Offices</t>
  </si>
  <si>
    <t>BID-026</t>
  </si>
  <si>
    <t>Gotham Public Schools – Multi-Site Evening Janitorial</t>
  </si>
  <si>
    <t>Feb 2026</t>
  </si>
  <si>
    <t>BID-027</t>
  </si>
  <si>
    <t>Northstar Charter Network – Multi-Site Facility Services</t>
  </si>
  <si>
    <t>BID-028</t>
  </si>
  <si>
    <t>Harborlight Medical Offices – New Facility Turnover Cleaning</t>
  </si>
  <si>
    <t>BID-029</t>
  </si>
  <si>
    <t>Queensboro Transit Authority – Campus Custodial Services</t>
  </si>
  <si>
    <t>Queensboro Transit Authority</t>
  </si>
  <si>
    <t>BID-030</t>
  </si>
  <si>
    <t>Arcadia Housing Authority – Seasonal Grounds Services</t>
  </si>
  <si>
    <t>Arcadia Housing Authority</t>
  </si>
  <si>
    <t>BID-031</t>
  </si>
  <si>
    <t>Harborlight Medical Offices – Event Security Coverage</t>
  </si>
  <si>
    <t>Declined because licensing requirement reduced strategic or operational fit.</t>
  </si>
  <si>
    <t>Mar 2026</t>
  </si>
  <si>
    <t>BID-032</t>
  </si>
  <si>
    <t>Queensboro Transit Authority – Commercial IPM Services</t>
  </si>
  <si>
    <t>BID-033</t>
  </si>
  <si>
    <t>Arcadia Housing Authority – Final Construction Cleaning</t>
  </si>
  <si>
    <t>Declined because staffing / operations capacity reduced strategic or operational fit.</t>
  </si>
  <si>
    <t>BID-034</t>
  </si>
  <si>
    <t>Crescent Bay University – Stone and Resilient Floor Care</t>
  </si>
  <si>
    <t>Crescent Bay University</t>
  </si>
  <si>
    <t>BID-035</t>
  </si>
  <si>
    <t>Daily Bugle Headquarters – Campus Landscape Program</t>
  </si>
  <si>
    <t>BID-036</t>
  </si>
  <si>
    <t>Arcadia Housing Authority – Public Offices Custodial Support</t>
  </si>
  <si>
    <t>Apr 2026</t>
  </si>
  <si>
    <t>BID-037</t>
  </si>
  <si>
    <t>Crescent Bay University – Integrated Pest Management</t>
  </si>
  <si>
    <t>BID-038</t>
  </si>
  <si>
    <t>Daily Bugle Headquarters – Renovation Closeout Cleaning</t>
  </si>
  <si>
    <t>BID-039</t>
  </si>
  <si>
    <t>Metropolis Community College – Civic Center Custodial Program</t>
  </si>
  <si>
    <t>BID-040</t>
  </si>
  <si>
    <t>Atlas County Services – Public Complex Operations</t>
  </si>
  <si>
    <t>BID-041</t>
  </si>
  <si>
    <t>Daily Bugle Headquarters – Unarmed Guard Services</t>
  </si>
  <si>
    <t>May 2026</t>
  </si>
  <si>
    <t>BID-042</t>
  </si>
  <si>
    <t>BID-043</t>
  </si>
  <si>
    <t>BID-044</t>
  </si>
  <si>
    <t>BID-045</t>
  </si>
  <si>
    <t>Stark Facilities Group – Annual Floor Restoration</t>
  </si>
  <si>
    <t>BID-046</t>
  </si>
  <si>
    <t>Jun 2026</t>
  </si>
  <si>
    <t>BID-047</t>
  </si>
  <si>
    <t>BID-048</t>
  </si>
  <si>
    <t>BID-049</t>
  </si>
  <si>
    <t>BID-050</t>
  </si>
  <si>
    <t>BID-051</t>
  </si>
  <si>
    <t>Jul 2026</t>
  </si>
  <si>
    <t>BID-052</t>
  </si>
  <si>
    <t>Parker Research Campus – Commercial IPM Services</t>
  </si>
  <si>
    <t>BID-053</t>
  </si>
  <si>
    <t>Beacon Preparatory Schools – Integrated Facility Operations</t>
  </si>
  <si>
    <t>Complete current-stage review</t>
  </si>
  <si>
    <t>Opportunity remains active and requires continued workflow management.</t>
  </si>
  <si>
    <t>BID-054</t>
  </si>
  <si>
    <t>Wayne Municipal Services – Districtwide School Cleaning</t>
  </si>
  <si>
    <t>BID-055</t>
  </si>
  <si>
    <t>Pursuit aligned with the fictional bidder's service strategy; manageable pursuit with one or more operational dependencies requiring confirmation.</t>
  </si>
  <si>
    <t>Confirm receipt</t>
  </si>
  <si>
    <t>BID-056</t>
  </si>
  <si>
    <t>Beacon Preparatory Schools – Carpet and Floor Renewal</t>
  </si>
  <si>
    <t>Request award status</t>
  </si>
  <si>
    <t>Aug 2026</t>
  </si>
  <si>
    <t>BID-057</t>
  </si>
  <si>
    <t>BID-058</t>
  </si>
  <si>
    <t>BID-059</t>
  </si>
  <si>
    <t>BID-060</t>
  </si>
  <si>
    <t>Duration (Days)</t>
  </si>
  <si>
    <t>EXECUTIVE BID INTELLIGENCE</t>
  </si>
  <si>
    <t>Portfolio-wide performance, pipeline value, and pursuit outcomes | Fictional demonstration</t>
  </si>
  <si>
    <t>Reporting Period</t>
  </si>
  <si>
    <t>All Periods</t>
  </si>
  <si>
    <t>OPPORTUNITIES REVIEWED</t>
  </si>
  <si>
    <t>SUBMITTED</t>
  </si>
  <si>
    <t>WINS</t>
  </si>
  <si>
    <t>NO-BIDS</t>
  </si>
  <si>
    <t>DECIDED WIN RATE</t>
  </si>
  <si>
    <t>SUBMITTED VALUE</t>
  </si>
  <si>
    <t>ACTIVE PIPELINE VALUE</t>
  </si>
  <si>
    <t>AVERAGE CONTRACT VALUE</t>
  </si>
  <si>
    <t>AWAITING AWARD</t>
  </si>
  <si>
    <t>Month</t>
  </si>
  <si>
    <t>Reviewed</t>
  </si>
  <si>
    <t>Wins</t>
  </si>
  <si>
    <t>No-Bids</t>
  </si>
  <si>
    <t>Count</t>
  </si>
  <si>
    <t>ACTIVE BID PIPELINE</t>
  </si>
  <si>
    <t>SF</t>
  </si>
  <si>
    <t>Sites</t>
  </si>
  <si>
    <t>Prevailing Wage</t>
  </si>
  <si>
    <t>BID / NO-BID INTELLIGENCE</t>
  </si>
  <si>
    <t>DECLINED OPPORTUNITIES</t>
  </si>
  <si>
    <t>NO-BID RATE</t>
  </si>
  <si>
    <t>VALUE DECLINED</t>
  </si>
  <si>
    <t>EST. HOURS AVOIDED</t>
  </si>
  <si>
    <t>Reason</t>
  </si>
  <si>
    <t>Est. Value</t>
  </si>
  <si>
    <t>Decision Note</t>
  </si>
  <si>
    <t>POST-BID COMPETITIVE INTELLIGENCE</t>
  </si>
  <si>
    <t>DECISIONS ANALYZED</t>
  </si>
  <si>
    <t>AVERAGE KNOWN VARIANCE</t>
  </si>
  <si>
    <t>CLOSE / BENCHMARK</t>
  </si>
  <si>
    <t>MAJOR PRICING GAPS</t>
  </si>
  <si>
    <t>Avg Variance</t>
  </si>
  <si>
    <t>Category</t>
  </si>
  <si>
    <t>Win / Not a pricing loss</t>
  </si>
  <si>
    <t>Close loss (≤12%)</t>
  </si>
  <si>
    <t>Moderate gap (12–20%)</t>
  </si>
  <si>
    <t>Major gap (&gt;20%)</t>
  </si>
  <si>
    <t>WORKFLOW / PROCESS INTELLIGENCE</t>
  </si>
  <si>
    <t>AVG. REVIEW TIME</t>
  </si>
  <si>
    <t>AVG. OPS REVIEW</t>
  </si>
  <si>
    <t>AVG. PROPOSAL TURNAROUND</t>
  </si>
  <si>
    <t>ACTIVE OPPORTUNITIES</t>
  </si>
  <si>
    <t>Avg. Duration</t>
  </si>
  <si>
    <t>Open Actions</t>
  </si>
  <si>
    <t>OPPORTUNITY DETAIL VIEW</t>
  </si>
  <si>
    <t>Select Opportunity ID</t>
  </si>
  <si>
    <t>Estimated Total Value</t>
  </si>
  <si>
    <t>Term</t>
  </si>
  <si>
    <t>Bond Required</t>
  </si>
  <si>
    <t>Column1</t>
  </si>
  <si>
    <t>← Click for Drop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</si>
</sst>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d\,\ yyyy"/>
    <numFmt numFmtId="165" formatCode="\$#,##0"/>
    <numFmt numFmtId="166" formatCode="0.0%"/>
    <numFmt numFmtId="167" formatCode="\$0.00"/>
    <numFmt numFmtId="168" formatCode="0.0\ &quot;days&quot;"/>
  </numFmts>
  <fonts count="18">
    <font>
      <sz val="11"/>
      <name val="Carlito"/>
    </font>
    <font>
      <b/>
      <sz val="20"/>
      <color rgb="FFFFFFFF"/>
      <name val="Aptos"/>
    </font>
    <font>
      <i/>
      <sz val="11"/>
      <color rgb="FF172033"/>
      <name val="Aptos"/>
    </font>
    <font>
      <sz val="11"/>
      <name val="Aptos"/>
    </font>
    <font>
      <b/>
      <sz val="11"/>
      <color rgb="FFFFFFFF"/>
      <name val="Aptos"/>
    </font>
    <font>
      <sz val="11"/>
      <color rgb="FF172033"/>
      <name val="Aptos"/>
    </font>
    <font>
      <b/>
      <sz val="11"/>
      <color rgb="FF14213D"/>
      <name val="Aptos"/>
    </font>
    <font>
      <b/>
      <sz val="11"/>
      <color rgb="FF2563EB"/>
      <name val="Aptos"/>
    </font>
    <font>
      <b/>
      <sz val="9"/>
      <color rgb="FF64748B"/>
      <name val="Aptos"/>
    </font>
    <font>
      <b/>
      <sz val="20"/>
      <color rgb="FF2563EB"/>
      <name val="Aptos"/>
    </font>
    <font>
      <b/>
      <sz val="20"/>
      <color rgb="FF7C3AED"/>
      <name val="Aptos"/>
    </font>
    <font>
      <b/>
      <sz val="20"/>
      <color rgb="FF15803D"/>
      <name val="Aptos"/>
    </font>
    <font>
      <b/>
      <sz val="20"/>
      <color rgb="FF64748B"/>
      <name val="Aptos"/>
    </font>
    <font>
      <b/>
      <sz val="20"/>
      <color rgb="FF0F766E"/>
      <name val="Aptos"/>
    </font>
    <font>
      <b/>
      <sz val="20"/>
      <color rgb="FFB45309"/>
      <name val="Aptos"/>
    </font>
    <font>
      <sz val="11"/>
      <color rgb="FFFFFFFF"/>
      <name val="Aptos"/>
    </font>
    <font>
      <b/>
      <sz val="20"/>
      <color rgb="FFB91C1C"/>
      <name val="Aptos"/>
    </font>
    <font>
      <b/>
      <sz val="11"/>
      <color rgb="FF00B05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EAF2FF"/>
      </patternFill>
    </fill>
    <fill>
      <patternFill patternType="solid">
        <fgColor rgb="FFFFFFFF"/>
      </patternFill>
    </fill>
    <fill>
      <patternFill patternType="solid">
        <fgColor rgb="FFDCEAFF"/>
      </patternFill>
    </fill>
  </fills>
  <borders count="16">
    <border>
      <left/>
      <right/>
      <top/>
      <bottom/>
      <diagonal/>
    </border>
    <border>
      <left style="thin">
        <color rgb="FF14213D"/>
      </left>
      <right/>
      <top style="thin">
        <color rgb="FF14213D"/>
      </top>
      <bottom style="thin">
        <color rgb="FF14213D"/>
      </bottom>
      <diagonal/>
    </border>
    <border>
      <left/>
      <right/>
      <top style="thin">
        <color rgb="FF14213D"/>
      </top>
      <bottom style="thin">
        <color rgb="FF14213D"/>
      </bottom>
      <diagonal/>
    </border>
    <border>
      <left/>
      <right style="thin">
        <color rgb="FF14213D"/>
      </right>
      <top style="thin">
        <color rgb="FF14213D"/>
      </top>
      <bottom style="thin">
        <color rgb="FF14213D"/>
      </bottom>
      <diagonal/>
    </border>
    <border>
      <left style="thin">
        <color rgb="FFD9E1EC"/>
      </left>
      <right/>
      <top style="thin">
        <color rgb="FFD9E1EC"/>
      </top>
      <bottom/>
      <diagonal/>
    </border>
    <border>
      <left/>
      <right/>
      <top style="thin">
        <color rgb="FFD9E1EC"/>
      </top>
      <bottom/>
      <diagonal/>
    </border>
    <border>
      <left/>
      <right style="thin">
        <color rgb="FFD9E1EC"/>
      </right>
      <top style="thin">
        <color rgb="FFD9E1EC"/>
      </top>
      <bottom/>
      <diagonal/>
    </border>
    <border>
      <left style="thin">
        <color rgb="FFD9E1EC"/>
      </left>
      <right/>
      <top/>
      <bottom style="thin">
        <color rgb="FFD9E1EC"/>
      </bottom>
      <diagonal/>
    </border>
    <border>
      <left/>
      <right/>
      <top/>
      <bottom style="thin">
        <color rgb="FFD9E1EC"/>
      </bottom>
      <diagonal/>
    </border>
    <border>
      <left/>
      <right style="thin">
        <color rgb="FFD9E1EC"/>
      </right>
      <top/>
      <bottom style="thin">
        <color rgb="FFD9E1EC"/>
      </bottom>
      <diagonal/>
    </border>
    <border>
      <left style="medium">
        <color rgb="FF2563EB"/>
      </left>
      <right/>
      <top style="medium">
        <color rgb="FF2563EB"/>
      </top>
      <bottom style="medium">
        <color rgb="FF2563EB"/>
      </bottom>
      <diagonal/>
    </border>
    <border>
      <left/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thin">
        <color rgb="FFD9E1EC"/>
      </left>
      <right/>
      <top style="thin">
        <color rgb="FFD9E1EC"/>
      </top>
      <bottom style="thin">
        <color rgb="FFD9E1EC"/>
      </bottom>
      <diagonal/>
    </border>
    <border>
      <left/>
      <right style="thin">
        <color rgb="FFD9E1EC"/>
      </right>
      <top style="thin">
        <color rgb="FFD9E1EC"/>
      </top>
      <bottom style="thin">
        <color rgb="FFD9E1EC"/>
      </bottom>
      <diagonal/>
    </border>
    <border>
      <left/>
      <right/>
      <top style="thin">
        <color rgb="FFD9E1EC"/>
      </top>
      <bottom style="thin">
        <color rgb="FFD9E1EC"/>
      </bottom>
      <diagonal/>
    </border>
    <border>
      <left style="medium">
        <color rgb="FF00B050"/>
      </left>
      <right/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15" fillId="2" borderId="0" xfId="0" applyFont="1" applyFill="1"/>
    <xf numFmtId="0" fontId="4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167" fontId="3" fillId="0" borderId="0" xfId="0" applyNumberFormat="1" applyFont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17" fontId="7" fillId="5" borderId="10" xfId="0" applyNumberFormat="1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166" fontId="13" fillId="4" borderId="4" xfId="0" applyNumberFormat="1" applyFont="1" applyFill="1" applyBorder="1" applyAlignment="1">
      <alignment horizontal="center" vertical="center"/>
    </xf>
    <xf numFmtId="166" fontId="13" fillId="4" borderId="6" xfId="0" applyNumberFormat="1" applyFont="1" applyFill="1" applyBorder="1" applyAlignment="1">
      <alignment horizontal="center" vertical="center"/>
    </xf>
    <xf numFmtId="166" fontId="13" fillId="4" borderId="7" xfId="0" applyNumberFormat="1" applyFont="1" applyFill="1" applyBorder="1" applyAlignment="1">
      <alignment horizontal="center" vertical="center"/>
    </xf>
    <xf numFmtId="166" fontId="13" fillId="4" borderId="9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/>
    </xf>
    <xf numFmtId="165" fontId="10" fillId="4" borderId="4" xfId="0" applyNumberFormat="1" applyFont="1" applyFill="1" applyBorder="1" applyAlignment="1">
      <alignment horizontal="center" vertical="center"/>
    </xf>
    <xf numFmtId="165" fontId="10" fillId="4" borderId="5" xfId="0" applyNumberFormat="1" applyFont="1" applyFill="1" applyBorder="1" applyAlignment="1">
      <alignment horizontal="center" vertical="center"/>
    </xf>
    <xf numFmtId="165" fontId="10" fillId="4" borderId="6" xfId="0" applyNumberFormat="1" applyFont="1" applyFill="1" applyBorder="1" applyAlignment="1">
      <alignment horizontal="center" vertical="center"/>
    </xf>
    <xf numFmtId="165" fontId="10" fillId="4" borderId="7" xfId="0" applyNumberFormat="1" applyFont="1" applyFill="1" applyBorder="1" applyAlignment="1">
      <alignment horizontal="center" vertical="center"/>
    </xf>
    <xf numFmtId="165" fontId="10" fillId="4" borderId="8" xfId="0" applyNumberFormat="1" applyFont="1" applyFill="1" applyBorder="1" applyAlignment="1">
      <alignment horizontal="center" vertical="center"/>
    </xf>
    <xf numFmtId="165" fontId="10" fillId="4" borderId="9" xfId="0" applyNumberFormat="1" applyFont="1" applyFill="1" applyBorder="1" applyAlignment="1">
      <alignment horizontal="center" vertical="center"/>
    </xf>
    <xf numFmtId="165" fontId="9" fillId="4" borderId="4" xfId="0" applyNumberFormat="1" applyFont="1" applyFill="1" applyBorder="1" applyAlignment="1">
      <alignment horizontal="center" vertical="center"/>
    </xf>
    <xf numFmtId="165" fontId="9" fillId="4" borderId="5" xfId="0" applyNumberFormat="1" applyFont="1" applyFill="1" applyBorder="1" applyAlignment="1">
      <alignment horizontal="center" vertical="center"/>
    </xf>
    <xf numFmtId="165" fontId="9" fillId="4" borderId="6" xfId="0" applyNumberFormat="1" applyFont="1" applyFill="1" applyBorder="1" applyAlignment="1">
      <alignment horizontal="center" vertical="center"/>
    </xf>
    <xf numFmtId="165" fontId="9" fillId="4" borderId="7" xfId="0" applyNumberFormat="1" applyFont="1" applyFill="1" applyBorder="1" applyAlignment="1">
      <alignment horizontal="center" vertical="center"/>
    </xf>
    <xf numFmtId="165" fontId="9" fillId="4" borderId="8" xfId="0" applyNumberFormat="1" applyFont="1" applyFill="1" applyBorder="1" applyAlignment="1">
      <alignment horizontal="center" vertical="center"/>
    </xf>
    <xf numFmtId="165" fontId="9" fillId="4" borderId="9" xfId="0" applyNumberFormat="1" applyFont="1" applyFill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65" fontId="13" fillId="4" borderId="5" xfId="0" applyNumberFormat="1" applyFont="1" applyFill="1" applyBorder="1" applyAlignment="1">
      <alignment horizontal="center" vertical="center"/>
    </xf>
    <xf numFmtId="165" fontId="13" fillId="4" borderId="6" xfId="0" applyNumberFormat="1" applyFont="1" applyFill="1" applyBorder="1" applyAlignment="1">
      <alignment horizontal="center" vertical="center"/>
    </xf>
    <xf numFmtId="165" fontId="13" fillId="4" borderId="7" xfId="0" applyNumberFormat="1" applyFont="1" applyFill="1" applyBorder="1" applyAlignment="1">
      <alignment horizontal="center" vertical="center"/>
    </xf>
    <xf numFmtId="165" fontId="13" fillId="4" borderId="8" xfId="0" applyNumberFormat="1" applyFont="1" applyFill="1" applyBorder="1" applyAlignment="1">
      <alignment horizontal="center" vertical="center"/>
    </xf>
    <xf numFmtId="165" fontId="13" fillId="4" borderId="9" xfId="0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166" fontId="14" fillId="4" borderId="4" xfId="0" applyNumberFormat="1" applyFont="1" applyFill="1" applyBorder="1" applyAlignment="1">
      <alignment horizontal="center" vertical="center"/>
    </xf>
    <xf numFmtId="166" fontId="14" fillId="4" borderId="5" xfId="0" applyNumberFormat="1" applyFont="1" applyFill="1" applyBorder="1" applyAlignment="1">
      <alignment horizontal="center" vertical="center"/>
    </xf>
    <xf numFmtId="166" fontId="14" fillId="4" borderId="6" xfId="0" applyNumberFormat="1" applyFont="1" applyFill="1" applyBorder="1" applyAlignment="1">
      <alignment horizontal="center" vertical="center"/>
    </xf>
    <xf numFmtId="166" fontId="14" fillId="4" borderId="7" xfId="0" applyNumberFormat="1" applyFont="1" applyFill="1" applyBorder="1" applyAlignment="1">
      <alignment horizontal="center" vertical="center"/>
    </xf>
    <xf numFmtId="166" fontId="14" fillId="4" borderId="8" xfId="0" applyNumberFormat="1" applyFont="1" applyFill="1" applyBorder="1" applyAlignment="1">
      <alignment horizontal="center" vertical="center"/>
    </xf>
    <xf numFmtId="166" fontId="14" fillId="4" borderId="9" xfId="0" applyNumberFormat="1" applyFont="1" applyFill="1" applyBorder="1" applyAlignment="1">
      <alignment horizontal="center" vertical="center"/>
    </xf>
    <xf numFmtId="165" fontId="16" fillId="4" borderId="4" xfId="0" applyNumberFormat="1" applyFont="1" applyFill="1" applyBorder="1" applyAlignment="1">
      <alignment horizontal="center" vertical="center"/>
    </xf>
    <xf numFmtId="165" fontId="16" fillId="4" borderId="5" xfId="0" applyNumberFormat="1" applyFont="1" applyFill="1" applyBorder="1" applyAlignment="1">
      <alignment horizontal="center" vertical="center"/>
    </xf>
    <xf numFmtId="165" fontId="16" fillId="4" borderId="6" xfId="0" applyNumberFormat="1" applyFont="1" applyFill="1" applyBorder="1" applyAlignment="1">
      <alignment horizontal="center" vertical="center"/>
    </xf>
    <xf numFmtId="165" fontId="16" fillId="4" borderId="7" xfId="0" applyNumberFormat="1" applyFont="1" applyFill="1" applyBorder="1" applyAlignment="1">
      <alignment horizontal="center" vertical="center"/>
    </xf>
    <xf numFmtId="165" fontId="16" fillId="4" borderId="8" xfId="0" applyNumberFormat="1" applyFont="1" applyFill="1" applyBorder="1" applyAlignment="1">
      <alignment horizontal="center" vertical="center"/>
    </xf>
    <xf numFmtId="165" fontId="16" fillId="4" borderId="9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68" fontId="9" fillId="4" borderId="4" xfId="0" applyNumberFormat="1" applyFont="1" applyFill="1" applyBorder="1" applyAlignment="1">
      <alignment horizontal="center" vertical="center"/>
    </xf>
    <xf numFmtId="168" fontId="9" fillId="4" borderId="5" xfId="0" applyNumberFormat="1" applyFont="1" applyFill="1" applyBorder="1" applyAlignment="1">
      <alignment horizontal="center" vertical="center"/>
    </xf>
    <xf numFmtId="168" fontId="9" fillId="4" borderId="6" xfId="0" applyNumberFormat="1" applyFont="1" applyFill="1" applyBorder="1" applyAlignment="1">
      <alignment horizontal="center" vertical="center"/>
    </xf>
    <xf numFmtId="168" fontId="9" fillId="4" borderId="7" xfId="0" applyNumberFormat="1" applyFont="1" applyFill="1" applyBorder="1" applyAlignment="1">
      <alignment horizontal="center" vertical="center"/>
    </xf>
    <xf numFmtId="168" fontId="9" fillId="4" borderId="8" xfId="0" applyNumberFormat="1" applyFont="1" applyFill="1" applyBorder="1" applyAlignment="1">
      <alignment horizontal="center" vertical="center"/>
    </xf>
    <xf numFmtId="168" fontId="9" fillId="4" borderId="9" xfId="0" applyNumberFormat="1" applyFont="1" applyFill="1" applyBorder="1" applyAlignment="1">
      <alignment horizontal="center" vertical="center"/>
    </xf>
    <xf numFmtId="168" fontId="16" fillId="4" borderId="4" xfId="0" applyNumberFormat="1" applyFont="1" applyFill="1" applyBorder="1" applyAlignment="1">
      <alignment horizontal="center" vertical="center"/>
    </xf>
    <xf numFmtId="168" fontId="16" fillId="4" borderId="5" xfId="0" applyNumberFormat="1" applyFont="1" applyFill="1" applyBorder="1" applyAlignment="1">
      <alignment horizontal="center" vertical="center"/>
    </xf>
    <xf numFmtId="168" fontId="16" fillId="4" borderId="6" xfId="0" applyNumberFormat="1" applyFont="1" applyFill="1" applyBorder="1" applyAlignment="1">
      <alignment horizontal="center" vertical="center"/>
    </xf>
    <xf numFmtId="168" fontId="16" fillId="4" borderId="7" xfId="0" applyNumberFormat="1" applyFont="1" applyFill="1" applyBorder="1" applyAlignment="1">
      <alignment horizontal="center" vertical="center"/>
    </xf>
    <xf numFmtId="168" fontId="16" fillId="4" borderId="8" xfId="0" applyNumberFormat="1" applyFont="1" applyFill="1" applyBorder="1" applyAlignment="1">
      <alignment horizontal="center" vertical="center"/>
    </xf>
    <xf numFmtId="168" fontId="16" fillId="4" borderId="9" xfId="0" applyNumberFormat="1" applyFont="1" applyFill="1" applyBorder="1" applyAlignment="1">
      <alignment horizontal="center" vertical="center"/>
    </xf>
    <xf numFmtId="168" fontId="13" fillId="4" borderId="4" xfId="0" applyNumberFormat="1" applyFont="1" applyFill="1" applyBorder="1" applyAlignment="1">
      <alignment horizontal="center" vertical="center"/>
    </xf>
    <xf numFmtId="168" fontId="13" fillId="4" borderId="5" xfId="0" applyNumberFormat="1" applyFont="1" applyFill="1" applyBorder="1" applyAlignment="1">
      <alignment horizontal="center" vertical="center"/>
    </xf>
    <xf numFmtId="168" fontId="13" fillId="4" borderId="6" xfId="0" applyNumberFormat="1" applyFont="1" applyFill="1" applyBorder="1" applyAlignment="1">
      <alignment horizontal="center" vertical="center"/>
    </xf>
    <xf numFmtId="168" fontId="13" fillId="4" borderId="7" xfId="0" applyNumberFormat="1" applyFont="1" applyFill="1" applyBorder="1" applyAlignment="1">
      <alignment horizontal="center" vertical="center"/>
    </xf>
    <xf numFmtId="168" fontId="13" fillId="4" borderId="8" xfId="0" applyNumberFormat="1" applyFont="1" applyFill="1" applyBorder="1" applyAlignment="1">
      <alignment horizontal="center" vertical="center"/>
    </xf>
    <xf numFmtId="168" fontId="13" fillId="4" borderId="9" xfId="0" applyNumberFormat="1" applyFont="1" applyFill="1" applyBorder="1" applyAlignment="1">
      <alignment horizontal="center"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5" fillId="4" borderId="12" xfId="0" applyFont="1" applyFill="1" applyBorder="1" applyAlignment="1">
      <alignment wrapText="1"/>
    </xf>
    <xf numFmtId="0" fontId="5" fillId="4" borderId="14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164" fontId="5" fillId="4" borderId="12" xfId="0" applyNumberFormat="1" applyFont="1" applyFill="1" applyBorder="1" applyAlignment="1">
      <alignment wrapText="1"/>
    </xf>
    <xf numFmtId="164" fontId="5" fillId="4" borderId="14" xfId="0" applyNumberFormat="1" applyFont="1" applyFill="1" applyBorder="1" applyAlignment="1">
      <alignment wrapText="1"/>
    </xf>
    <xf numFmtId="164" fontId="5" fillId="4" borderId="13" xfId="0" applyNumberFormat="1" applyFont="1" applyFill="1" applyBorder="1" applyAlignment="1">
      <alignment wrapText="1"/>
    </xf>
    <xf numFmtId="165" fontId="5" fillId="4" borderId="12" xfId="0" applyNumberFormat="1" applyFont="1" applyFill="1" applyBorder="1" applyAlignment="1">
      <alignment wrapText="1"/>
    </xf>
    <xf numFmtId="165" fontId="5" fillId="4" borderId="14" xfId="0" applyNumberFormat="1" applyFont="1" applyFill="1" applyBorder="1" applyAlignment="1">
      <alignment wrapText="1"/>
    </xf>
    <xf numFmtId="165" fontId="5" fillId="4" borderId="13" xfId="0" applyNumberFormat="1" applyFont="1" applyFill="1" applyBorder="1" applyAlignment="1">
      <alignment wrapText="1"/>
    </xf>
    <xf numFmtId="0" fontId="9" fillId="4" borderId="5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166" fontId="16" fillId="4" borderId="4" xfId="0" applyNumberFormat="1" applyFont="1" applyFill="1" applyBorder="1" applyAlignment="1">
      <alignment horizontal="center" vertical="center"/>
    </xf>
    <xf numFmtId="166" fontId="16" fillId="4" borderId="5" xfId="0" applyNumberFormat="1" applyFont="1" applyFill="1" applyBorder="1" applyAlignment="1">
      <alignment horizontal="center" vertical="center"/>
    </xf>
    <xf numFmtId="166" fontId="16" fillId="4" borderId="6" xfId="0" applyNumberFormat="1" applyFont="1" applyFill="1" applyBorder="1" applyAlignment="1">
      <alignment horizontal="center" vertical="center"/>
    </xf>
    <xf numFmtId="166" fontId="16" fillId="4" borderId="7" xfId="0" applyNumberFormat="1" applyFont="1" applyFill="1" applyBorder="1" applyAlignment="1">
      <alignment horizontal="center" vertical="center"/>
    </xf>
    <xf numFmtId="166" fontId="16" fillId="4" borderId="8" xfId="0" applyNumberFormat="1" applyFont="1" applyFill="1" applyBorder="1" applyAlignment="1">
      <alignment horizontal="center" vertical="center"/>
    </xf>
    <xf numFmtId="166" fontId="16" fillId="4" borderId="9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wrapText="1"/>
    </xf>
    <xf numFmtId="0" fontId="4" fillId="2" borderId="0" xfId="0" quotePrefix="1" applyFont="1" applyFill="1"/>
    <xf numFmtId="0" fontId="17" fillId="0" borderId="15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</cellXfs>
  <cellStyles count="1">
    <cellStyle name="Normal" xfId="0" builtinId="0"/>
  </cellStyles>
  <dxfs count="3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color rgb="FFB91C1C"/>
      </font>
      <fill>
        <patternFill patternType="solid">
          <bgColor rgb="FFFDECEC"/>
        </patternFill>
      </fill>
    </dxf>
    <dxf>
      <font>
        <b/>
        <color rgb="FF64748B"/>
      </font>
      <fill>
        <patternFill patternType="solid">
          <bgColor rgb="FFEEF1F5"/>
        </patternFill>
      </fill>
    </dxf>
    <dxf>
      <font>
        <b/>
        <color rgb="FFB91C1C"/>
      </font>
      <fill>
        <patternFill patternType="solid">
          <bgColor rgb="FFFDECEC"/>
        </patternFill>
      </fill>
    </dxf>
    <dxf>
      <font>
        <b/>
        <color rgb="FF15803D"/>
      </font>
      <fill>
        <patternFill patternType="solid">
          <bgColor rgb="FFEAF7E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Bid Activity by Reporting Period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Reviewed</c:v>
          </c:tx>
          <c:invertIfNegative val="1"/>
          <c:cat>
            <c:strRef>
              <c:f>'2. Executive Dashboard'!$A$31:$A$42</c:f>
              <c:strCache>
                <c:ptCount val="12"/>
                <c:pt idx="0">
                  <c:v>Sep 2025</c:v>
                </c:pt>
                <c:pt idx="1">
                  <c:v>Oct 2025</c:v>
                </c:pt>
                <c:pt idx="2">
                  <c:v>Nov 2025</c:v>
                </c:pt>
                <c:pt idx="3">
                  <c:v>Dec 2025</c:v>
                </c:pt>
                <c:pt idx="4">
                  <c:v>Jan 2026</c:v>
                </c:pt>
                <c:pt idx="5">
                  <c:v>Feb 2026</c:v>
                </c:pt>
                <c:pt idx="6">
                  <c:v>Mar 2026</c:v>
                </c:pt>
                <c:pt idx="7">
                  <c:v>Apr 2026</c:v>
                </c:pt>
                <c:pt idx="8">
                  <c:v>May 2026</c:v>
                </c:pt>
                <c:pt idx="9">
                  <c:v>Jun 2026</c:v>
                </c:pt>
                <c:pt idx="10">
                  <c:v>Jul 2026</c:v>
                </c:pt>
                <c:pt idx="11">
                  <c:v>Aug 2026</c:v>
                </c:pt>
              </c:strCache>
            </c:strRef>
          </c:cat>
          <c:val>
            <c:numRef>
              <c:f>'2. Executive Dashboard'!$B$31:$B$42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1-4CD5-9855-16FB357C6CD0}"/>
            </c:ext>
          </c:extLst>
        </c:ser>
        <c:ser>
          <c:idx val="1"/>
          <c:order val="1"/>
          <c:tx>
            <c:v>Submitted</c:v>
          </c:tx>
          <c:invertIfNegative val="1"/>
          <c:cat>
            <c:strRef>
              <c:f>'2. Executive Dashboard'!$A$31:$A$42</c:f>
              <c:strCache>
                <c:ptCount val="12"/>
                <c:pt idx="0">
                  <c:v>Sep 2025</c:v>
                </c:pt>
                <c:pt idx="1">
                  <c:v>Oct 2025</c:v>
                </c:pt>
                <c:pt idx="2">
                  <c:v>Nov 2025</c:v>
                </c:pt>
                <c:pt idx="3">
                  <c:v>Dec 2025</c:v>
                </c:pt>
                <c:pt idx="4">
                  <c:v>Jan 2026</c:v>
                </c:pt>
                <c:pt idx="5">
                  <c:v>Feb 2026</c:v>
                </c:pt>
                <c:pt idx="6">
                  <c:v>Mar 2026</c:v>
                </c:pt>
                <c:pt idx="7">
                  <c:v>Apr 2026</c:v>
                </c:pt>
                <c:pt idx="8">
                  <c:v>May 2026</c:v>
                </c:pt>
                <c:pt idx="9">
                  <c:v>Jun 2026</c:v>
                </c:pt>
                <c:pt idx="10">
                  <c:v>Jul 2026</c:v>
                </c:pt>
                <c:pt idx="11">
                  <c:v>Aug 2026</c:v>
                </c:pt>
              </c:strCache>
            </c:strRef>
          </c:cat>
          <c:val>
            <c:numRef>
              <c:f>'2. Executive Dashboard'!$C$31:$C$42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1-4CD5-9855-16FB357C6CD0}"/>
            </c:ext>
          </c:extLst>
        </c:ser>
        <c:ser>
          <c:idx val="2"/>
          <c:order val="2"/>
          <c:tx>
            <c:v>Wins</c:v>
          </c:tx>
          <c:invertIfNegative val="1"/>
          <c:cat>
            <c:strRef>
              <c:f>'2. Executive Dashboard'!$A$31:$A$42</c:f>
              <c:strCache>
                <c:ptCount val="12"/>
                <c:pt idx="0">
                  <c:v>Sep 2025</c:v>
                </c:pt>
                <c:pt idx="1">
                  <c:v>Oct 2025</c:v>
                </c:pt>
                <c:pt idx="2">
                  <c:v>Nov 2025</c:v>
                </c:pt>
                <c:pt idx="3">
                  <c:v>Dec 2025</c:v>
                </c:pt>
                <c:pt idx="4">
                  <c:v>Jan 2026</c:v>
                </c:pt>
                <c:pt idx="5">
                  <c:v>Feb 2026</c:v>
                </c:pt>
                <c:pt idx="6">
                  <c:v>Mar 2026</c:v>
                </c:pt>
                <c:pt idx="7">
                  <c:v>Apr 2026</c:v>
                </c:pt>
                <c:pt idx="8">
                  <c:v>May 2026</c:v>
                </c:pt>
                <c:pt idx="9">
                  <c:v>Jun 2026</c:v>
                </c:pt>
                <c:pt idx="10">
                  <c:v>Jul 2026</c:v>
                </c:pt>
                <c:pt idx="11">
                  <c:v>Aug 2026</c:v>
                </c:pt>
              </c:strCache>
            </c:strRef>
          </c:cat>
          <c:val>
            <c:numRef>
              <c:f>'2. Executive Dashboard'!$D$31:$D$42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1-4CD5-9855-16FB357C6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Portfolio Outcomes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'2. Executive Dashboard'!$G$31:$G$36</c:f>
              <c:strCache>
                <c:ptCount val="6"/>
                <c:pt idx="0">
                  <c:v>Won</c:v>
                </c:pt>
                <c:pt idx="1">
                  <c:v>Lost</c:v>
                </c:pt>
                <c:pt idx="2">
                  <c:v>No-Bid</c:v>
                </c:pt>
                <c:pt idx="3">
                  <c:v>Awaiting Award</c:v>
                </c:pt>
                <c:pt idx="4">
                  <c:v>Submitted</c:v>
                </c:pt>
                <c:pt idx="5">
                  <c:v>In Progress</c:v>
                </c:pt>
              </c:strCache>
            </c:strRef>
          </c:cat>
          <c:val>
            <c:numRef>
              <c:f>'2. Executive Dashboard'!$H$31:$H$36</c:f>
              <c:numCache>
                <c:formatCode>General</c:formatCode>
                <c:ptCount val="6"/>
                <c:pt idx="0">
                  <c:v>3</c:v>
                </c:pt>
                <c:pt idx="1">
                  <c:v>26</c:v>
                </c:pt>
                <c:pt idx="2">
                  <c:v>23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7-407C-A69F-F327C0B1D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Why Opportunities Were Declined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'4. Bid-No-Bid Intelligence'!$A$29:$A$35</c:f>
              <c:strCache>
                <c:ptCount val="7"/>
                <c:pt idx="0">
                  <c:v>Geographic Distance</c:v>
                </c:pt>
                <c:pt idx="1">
                  <c:v>Licensing Requirement</c:v>
                </c:pt>
                <c:pt idx="2">
                  <c:v>Scope Misalignment</c:v>
                </c:pt>
                <c:pt idx="3">
                  <c:v>Staffing / Operations Capacity</c:v>
                </c:pt>
                <c:pt idx="4">
                  <c:v>Insufficient Time</c:v>
                </c:pt>
                <c:pt idx="5">
                  <c:v>Minimum Qualifications</c:v>
                </c:pt>
                <c:pt idx="6">
                  <c:v>Pricing / Margin Concern</c:v>
                </c:pt>
              </c:strCache>
            </c:strRef>
          </c:cat>
          <c:val>
            <c:numRef>
              <c:f>'4. Bid-No-Bid Intelligence'!$B$29:$B$35</c:f>
              <c:numCache>
                <c:formatCode>General</c:formatCode>
                <c:ptCount val="7"/>
                <c:pt idx="0">
                  <c:v>13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6-4303-A253-C72367C9D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No-Bids by Market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'4. Bid-No-Bid Intelligence'!$H$29:$H$33</c:f>
              <c:strCache>
                <c:ptCount val="5"/>
                <c:pt idx="0">
                  <c:v>Metro NY</c:v>
                </c:pt>
                <c:pt idx="1">
                  <c:v>North Jersey</c:v>
                </c:pt>
                <c:pt idx="2">
                  <c:v>Hudson Valley</c:v>
                </c:pt>
                <c:pt idx="3">
                  <c:v>Central Jersey</c:v>
                </c:pt>
                <c:pt idx="4">
                  <c:v>Outer Region</c:v>
                </c:pt>
              </c:strCache>
            </c:strRef>
          </c:cat>
          <c:val>
            <c:numRef>
              <c:f>'4. Bid-No-Bid Intelligence'!$I$29:$I$33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7-46A9-A354-A0D9C9CBA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Pricing Variance by Service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Variance</c:v>
          </c:tx>
          <c:invertIfNegative val="1"/>
          <c:cat>
            <c:strRef>
              <c:f>'5. Post-Bid Analysis'!$A$29:$A$36</c:f>
              <c:strCache>
                <c:ptCount val="8"/>
                <c:pt idx="0">
                  <c:v>Janitorial</c:v>
                </c:pt>
                <c:pt idx="1">
                  <c:v>Custodial</c:v>
                </c:pt>
                <c:pt idx="2">
                  <c:v>Facility Maintenance</c:v>
                </c:pt>
                <c:pt idx="3">
                  <c:v>Pest Control</c:v>
                </c:pt>
                <c:pt idx="4">
                  <c:v>Landscaping</c:v>
                </c:pt>
                <c:pt idx="5">
                  <c:v>Security</c:v>
                </c:pt>
                <c:pt idx="6">
                  <c:v>Post-Construction Cleaning</c:v>
                </c:pt>
                <c:pt idx="7">
                  <c:v>Specialty Floor Care</c:v>
                </c:pt>
              </c:strCache>
            </c:strRef>
          </c:cat>
          <c:val>
            <c:numRef>
              <c:f>'5. Post-Bid Analysis'!$B$29:$B$36</c:f>
              <c:numCache>
                <c:formatCode>0.0%</c:formatCode>
                <c:ptCount val="8"/>
                <c:pt idx="0">
                  <c:v>5.6255513870302365E-2</c:v>
                </c:pt>
                <c:pt idx="1">
                  <c:v>0.12003960538127438</c:v>
                </c:pt>
                <c:pt idx="2">
                  <c:v>0.25999070608151148</c:v>
                </c:pt>
                <c:pt idx="3">
                  <c:v>9.0909090909090925E-2</c:v>
                </c:pt>
                <c:pt idx="4">
                  <c:v>0.13981915977657433</c:v>
                </c:pt>
                <c:pt idx="5">
                  <c:v>0.17993079584775087</c:v>
                </c:pt>
                <c:pt idx="6">
                  <c:v>0.10483144813077003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6-464C-83A6-CBBE57280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Post-Bid Result Categories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'5. Post-Bid Analysis'!$H$29:$H$32</c:f>
              <c:strCache>
                <c:ptCount val="4"/>
                <c:pt idx="0">
                  <c:v>Win / Not a pricing loss</c:v>
                </c:pt>
                <c:pt idx="1">
                  <c:v>Close loss (≤12%)</c:v>
                </c:pt>
                <c:pt idx="2">
                  <c:v>Moderate gap (12–20%)</c:v>
                </c:pt>
                <c:pt idx="3">
                  <c:v>Major gap (&gt;20%)</c:v>
                </c:pt>
              </c:strCache>
            </c:strRef>
          </c:cat>
          <c:val>
            <c:numRef>
              <c:f>'5. Post-Bid Analysis'!$I$29:$I$32</c:f>
              <c:numCache>
                <c:formatCode>General</c:formatCode>
                <c:ptCount val="4"/>
                <c:pt idx="0">
                  <c:v>3</c:v>
                </c:pt>
                <c:pt idx="1">
                  <c:v>16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8-4A91-A30A-6BB5E2892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Operational Review Is the Primary Bottleneck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Avg. Duration</c:v>
          </c:tx>
          <c:invertIfNegative val="1"/>
          <c:cat>
            <c:strRef>
              <c:f>'6. Workflow Intelligence'!$A$27:$A$30</c:f>
              <c:strCache>
                <c:ptCount val="4"/>
                <c:pt idx="0">
                  <c:v>Initial Review</c:v>
                </c:pt>
                <c:pt idx="1">
                  <c:v>Operational Review</c:v>
                </c:pt>
                <c:pt idx="2">
                  <c:v>Pricing</c:v>
                </c:pt>
                <c:pt idx="3">
                  <c:v>Proposal Development</c:v>
                </c:pt>
              </c:strCache>
            </c:strRef>
          </c:cat>
          <c:val>
            <c:numRef>
              <c:f>'6. Workflow Intelligence'!$B$27:$B$30</c:f>
              <c:numCache>
                <c:formatCode>General</c:formatCode>
                <c:ptCount val="4"/>
                <c:pt idx="0">
                  <c:v>2</c:v>
                </c:pt>
                <c:pt idx="1">
                  <c:v>4.25</c:v>
                </c:pt>
                <c:pt idx="2">
                  <c:v>2.1833333333333331</c:v>
                </c:pt>
                <c:pt idx="3">
                  <c:v>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C-4A4F-B90D-9DFAEA263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Current Workload by Owner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Actions</c:v>
          </c:tx>
          <c:invertIfNegative val="1"/>
          <c:cat>
            <c:strRef>
              <c:f>'6. Workflow Intelligence'!$H$27:$H$30</c:f>
              <c:strCache>
                <c:ptCount val="4"/>
                <c:pt idx="0">
                  <c:v>Michael Ngo</c:v>
                </c:pt>
                <c:pt idx="1">
                  <c:v>Avery Chen</c:v>
                </c:pt>
                <c:pt idx="2">
                  <c:v>Jordan Ellis</c:v>
                </c:pt>
                <c:pt idx="3">
                  <c:v>Priya Shah</c:v>
                </c:pt>
              </c:strCache>
            </c:strRef>
          </c:cat>
          <c:val>
            <c:numRef>
              <c:f>'6. Workflow Intelligence'!$I$27:$I$30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5-4BA4-9B1C-62C7AAB17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portunityRegisterTable" displayName="OpportunityRegisterTable" ref="A1:AP61" totalsRowShown="0">
  <tableColumns count="42">
    <tableColumn id="1" xr3:uid="{00000000-0010-0000-0000-000001000000}" name="Opportunity ID"/>
    <tableColumn id="2" xr3:uid="{00000000-0010-0000-0000-000002000000}" name="Opportunity"/>
    <tableColumn id="3" xr3:uid="{00000000-0010-0000-0000-000003000000}" name="Client"/>
    <tableColumn id="4" xr3:uid="{00000000-0010-0000-0000-000004000000}" name="Client Type"/>
    <tableColumn id="5" xr3:uid="{00000000-0010-0000-0000-000005000000}" name="Service"/>
    <tableColumn id="6" xr3:uid="{00000000-0010-0000-0000-000006000000}" name="Market"/>
    <tableColumn id="7" xr3:uid="{00000000-0010-0000-0000-000007000000}" name="Owner"/>
    <tableColumn id="8" xr3:uid="{00000000-0010-0000-0000-000008000000}" name="Identified Date"/>
    <tableColumn id="9" xr3:uid="{00000000-0010-0000-0000-000009000000}" name="Due Date"/>
    <tableColumn id="10" xr3:uid="{00000000-0010-0000-0000-00000A000000}" name="Current Stage"/>
    <tableColumn id="11" xr3:uid="{00000000-0010-0000-0000-00000B000000}" name="Outcome"/>
    <tableColumn id="12" xr3:uid="{00000000-0010-0000-0000-00000C000000}" name="Approved Pursuit?"/>
    <tableColumn id="13" xr3:uid="{00000000-0010-0000-0000-00000D000000}" name="Submitted?"/>
    <tableColumn id="14" xr3:uid="{00000000-0010-0000-0000-00000E000000}" name="Est. Annual Value"/>
    <tableColumn id="15" xr3:uid="{00000000-0010-0000-0000-00000F000000}" name="Est. Total Value"/>
    <tableColumn id="16" xr3:uid="{00000000-0010-0000-0000-000010000000}" name="Square Feet"/>
    <tableColumn id="17" xr3:uid="{00000000-0010-0000-0000-000011000000}" name="Site Count"/>
    <tableColumn id="18" xr3:uid="{00000000-0010-0000-0000-000012000000}" name="Term (Months)"/>
    <tableColumn id="19" xr3:uid="{00000000-0010-0000-0000-000013000000}" name="Prevailing Wage?"/>
    <tableColumn id="20" xr3:uid="{00000000-0010-0000-0000-000014000000}" name="Bond Required?"/>
    <tableColumn id="21" xr3:uid="{00000000-0010-0000-0000-000015000000}" name="Risk Level"/>
    <tableColumn id="22" xr3:uid="{00000000-0010-0000-0000-000016000000}" name="No-Bid Reason"/>
    <tableColumn id="23" xr3:uid="{00000000-0010-0000-0000-000017000000}" name="Decision Notes"/>
    <tableColumn id="24" xr3:uid="{00000000-0010-0000-0000-000018000000}" name="Submitted Price"/>
    <tableColumn id="25" xr3:uid="{00000000-0010-0000-0000-000019000000}" name="Winning Price"/>
    <tableColumn id="26" xr3:uid="{00000000-0010-0000-0000-00001A000000}" name="Winner"/>
    <tableColumn id="27" xr3:uid="{00000000-0010-0000-0000-00001B000000}" name="Incumbent"/>
    <tableColumn id="28" xr3:uid="{00000000-0010-0000-0000-00001C000000}" name="Review Days"/>
    <tableColumn id="29" xr3:uid="{00000000-0010-0000-0000-00001D000000}" name="Operational Review Days"/>
    <tableColumn id="30" xr3:uid="{00000000-0010-0000-0000-00001E000000}" name="Pricing Days"/>
    <tableColumn id="31" xr3:uid="{00000000-0010-0000-0000-00001F000000}" name="Proposal Days"/>
    <tableColumn id="32" xr3:uid="{00000000-0010-0000-0000-000020000000}" name="Decision Date"/>
    <tableColumn id="33" xr3:uid="{00000000-0010-0000-0000-000021000000}" name="Submitted Date"/>
    <tableColumn id="34" xr3:uid="{00000000-0010-0000-0000-000022000000}" name="Award Date"/>
    <tableColumn id="35" xr3:uid="{00000000-0010-0000-0000-000023000000}" name="Variance $"/>
    <tableColumn id="36" xr3:uid="{00000000-0010-0000-0000-000024000000}" name="Variance %"/>
    <tableColumn id="37" xr3:uid="{00000000-0010-0000-0000-000025000000}" name="Price / SF"/>
    <tableColumn id="38" xr3:uid="{00000000-0010-0000-0000-000026000000}" name="Days to Decision"/>
    <tableColumn id="39" xr3:uid="{00000000-0010-0000-0000-000027000000}" name="Proposal Turnaround"/>
    <tableColumn id="40" xr3:uid="{00000000-0010-0000-0000-000028000000}" name="Next Action"/>
    <tableColumn id="41" xr3:uid="{00000000-0010-0000-0000-000029000000}" name="Key Finding"/>
    <tableColumn id="42" xr3:uid="{00000000-0010-0000-0000-00002A000000}" name="Reporting 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vePipelineTable" displayName="ActivePipelineTable" ref="A3:N11" totalsRowShown="0">
  <tableColumns count="14">
    <tableColumn id="1" xr3:uid="{00000000-0010-0000-0200-000001000000}" name="Opportunity ID"/>
    <tableColumn id="2" xr3:uid="{00000000-0010-0000-0200-000002000000}" name="Opportunity"/>
    <tableColumn id="3" xr3:uid="{00000000-0010-0000-0200-000003000000}" name="Client"/>
    <tableColumn id="4" xr3:uid="{00000000-0010-0000-0200-000004000000}" name="Service"/>
    <tableColumn id="5" xr3:uid="{00000000-0010-0000-0200-000005000000}" name="Market"/>
    <tableColumn id="6" xr3:uid="{00000000-0010-0000-0200-000006000000}" name="Due Date"/>
    <tableColumn id="7" xr3:uid="{00000000-0010-0000-0200-000007000000}" name="Stage"/>
    <tableColumn id="8" xr3:uid="{00000000-0010-0000-0200-000008000000}" name="Est. Total Value"/>
    <tableColumn id="9" xr3:uid="{00000000-0010-0000-0200-000009000000}" name="SF"/>
    <tableColumn id="10" xr3:uid="{00000000-0010-0000-0200-00000A000000}" name="Sites"/>
    <tableColumn id="11" xr3:uid="{00000000-0010-0000-0200-00000B000000}" name="Prevailing Wage"/>
    <tableColumn id="12" xr3:uid="{00000000-0010-0000-0200-00000C000000}" name="Owner"/>
    <tableColumn id="13" xr3:uid="{00000000-0010-0000-0200-00000D000000}" name="Risk"/>
    <tableColumn id="14" xr3:uid="{00000000-0010-0000-0200-00000E000000}" name="Next 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BidDetailTable" displayName="NoBidDetailTable" ref="A38:H61" totalsRowShown="0" dataDxfId="9">
  <tableColumns count="8">
    <tableColumn id="1" xr3:uid="{00000000-0010-0000-0300-000001000000}" name="Opportunity" dataDxfId="17"/>
    <tableColumn id="2" xr3:uid="{00000000-0010-0000-0300-000002000000}" name="Service" dataDxfId="16"/>
    <tableColumn id="3" xr3:uid="{00000000-0010-0000-0300-000003000000}" name="Market" dataDxfId="15"/>
    <tableColumn id="4" xr3:uid="{00000000-0010-0000-0300-000004000000}" name="Reason" dataDxfId="14"/>
    <tableColumn id="5" xr3:uid="{00000000-0010-0000-0300-000005000000}" name="Est. Value" dataDxfId="13"/>
    <tableColumn id="6" xr3:uid="{00000000-0010-0000-0300-000006000000}" name="Risk" dataDxfId="12"/>
    <tableColumn id="7" xr3:uid="{00000000-0010-0000-0300-000007000000}" name="Decision Note" dataDxfId="11"/>
    <tableColumn id="8" xr3:uid="{00000000-0010-0000-0300-000008000000}" name="Owner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stBidTable" displayName="PostBidTable" ref="A40:L69" totalsRowShown="0" dataDxfId="34">
  <tableColumns count="12">
    <tableColumn id="1" xr3:uid="{00000000-0010-0000-0400-000001000000}" name="Opportunity" dataDxfId="33"/>
    <tableColumn id="2" xr3:uid="{00000000-0010-0000-0400-000002000000}" name="Service" dataDxfId="32"/>
    <tableColumn id="3" xr3:uid="{00000000-0010-0000-0400-000003000000}" name="Market" dataDxfId="31"/>
    <tableColumn id="4" xr3:uid="{00000000-0010-0000-0400-000004000000}" name="Outcome" dataDxfId="30"/>
    <tableColumn id="5" xr3:uid="{00000000-0010-0000-0400-000005000000}" name="Submitted Price" dataDxfId="29"/>
    <tableColumn id="6" xr3:uid="{00000000-0010-0000-0400-000006000000}" name="Winning Price" dataDxfId="28"/>
    <tableColumn id="7" xr3:uid="{00000000-0010-0000-0400-000007000000}" name="Variance $" dataDxfId="27"/>
    <tableColumn id="8" xr3:uid="{00000000-0010-0000-0400-000008000000}" name="Variance %" dataDxfId="26"/>
    <tableColumn id="9" xr3:uid="{00000000-0010-0000-0400-000009000000}" name="Price / SF" dataDxfId="25"/>
    <tableColumn id="10" xr3:uid="{00000000-0010-0000-0400-00000A000000}" name="Winner" dataDxfId="24"/>
    <tableColumn id="11" xr3:uid="{00000000-0010-0000-0400-00000B000000}" name="Incumbent" dataDxfId="23"/>
    <tableColumn id="12" xr3:uid="{00000000-0010-0000-0400-00000C000000}" name="Key Finding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orkflowActionTable" displayName="WorkflowActionTable" ref="A36:H44" totalsRowShown="0" dataDxfId="0">
  <tableColumns count="8">
    <tableColumn id="1" xr3:uid="{00000000-0010-0000-0500-000001000000}" name="Opportunity" dataDxfId="8"/>
    <tableColumn id="2" xr3:uid="{00000000-0010-0000-0500-000002000000}" name="Stage" dataDxfId="7"/>
    <tableColumn id="3" xr3:uid="{00000000-0010-0000-0500-000003000000}" name="Owner" dataDxfId="6"/>
    <tableColumn id="4" xr3:uid="{00000000-0010-0000-0500-000004000000}" name="Due Date" dataDxfId="5"/>
    <tableColumn id="5" xr3:uid="{00000000-0010-0000-0500-000005000000}" name="Risk" dataDxfId="4"/>
    <tableColumn id="6" xr3:uid="{00000000-0010-0000-0500-000006000000}" name="Days to Decision" dataDxfId="3"/>
    <tableColumn id="7" xr3:uid="{00000000-0010-0000-0500-000007000000}" name="Proposal Turnaround" dataDxfId="2"/>
    <tableColumn id="8" xr3:uid="{00000000-0010-0000-0500-000008000000}" name="Next Action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orkflowEventsTable" displayName="WorkflowEventsTable" ref="A1:D241" totalsRowShown="0">
  <tableColumns count="4">
    <tableColumn id="1" xr3:uid="{00000000-0010-0000-0100-000001000000}" name="Column1"/>
    <tableColumn id="2" xr3:uid="{00000000-0010-0000-0100-000002000000}" name="Stage"/>
    <tableColumn id="3" xr3:uid="{00000000-0010-0000-0100-000003000000}" name="Duration (Days)"/>
    <tableColumn id="4" xr3:uid="{00000000-0010-0000-0100-000004000000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32"/>
  <sheetViews>
    <sheetView showGridLines="0" workbookViewId="0">
      <selection activeCell="A26" sqref="A26:H27"/>
    </sheetView>
  </sheetViews>
  <sheetFormatPr defaultRowHeight="14"/>
  <cols>
    <col min="1" max="1" width="22" customWidth="1"/>
    <col min="2" max="8" width="16" customWidth="1"/>
  </cols>
  <sheetData>
    <row r="1" spans="1:8" ht="34" customHeight="1">
      <c r="A1" s="14" t="s">
        <v>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  <c r="H1" s="14" t="s">
        <v>0</v>
      </c>
    </row>
    <row r="2" spans="1:8" ht="14.5">
      <c r="A2" s="15" t="s">
        <v>1</v>
      </c>
      <c r="B2" s="15" t="s">
        <v>1</v>
      </c>
      <c r="C2" s="15" t="s">
        <v>1</v>
      </c>
      <c r="D2" s="15" t="s">
        <v>1</v>
      </c>
      <c r="E2" s="15" t="s">
        <v>1</v>
      </c>
      <c r="F2" s="15" t="s">
        <v>1</v>
      </c>
      <c r="G2" s="15" t="s">
        <v>1</v>
      </c>
      <c r="H2" s="15" t="s">
        <v>1</v>
      </c>
    </row>
    <row r="3" spans="1:8" ht="14.5">
      <c r="A3" s="1"/>
      <c r="B3" s="1"/>
      <c r="C3" s="1"/>
      <c r="D3" s="1"/>
      <c r="E3" s="1"/>
      <c r="F3" s="1"/>
      <c r="G3" s="1"/>
      <c r="H3" s="1"/>
    </row>
    <row r="4" spans="1:8" ht="14.5">
      <c r="A4" s="1"/>
      <c r="B4" s="1"/>
      <c r="C4" s="1"/>
      <c r="D4" s="1"/>
      <c r="E4" s="1"/>
      <c r="F4" s="1"/>
      <c r="G4" s="1"/>
      <c r="H4" s="1"/>
    </row>
    <row r="5" spans="1:8" ht="14.5">
      <c r="A5" s="64" t="s">
        <v>2</v>
      </c>
      <c r="B5" s="65" t="s">
        <v>2</v>
      </c>
      <c r="C5" s="65" t="s">
        <v>2</v>
      </c>
      <c r="D5" s="65" t="s">
        <v>2</v>
      </c>
      <c r="E5" s="65" t="s">
        <v>2</v>
      </c>
      <c r="F5" s="65" t="s">
        <v>2</v>
      </c>
      <c r="G5" s="65" t="s">
        <v>2</v>
      </c>
      <c r="H5" s="66" t="s">
        <v>2</v>
      </c>
    </row>
    <row r="6" spans="1:8">
      <c r="A6" s="67" t="s">
        <v>3</v>
      </c>
      <c r="B6" s="68" t="s">
        <v>3</v>
      </c>
      <c r="C6" s="68" t="s">
        <v>3</v>
      </c>
      <c r="D6" s="68" t="s">
        <v>3</v>
      </c>
      <c r="E6" s="68" t="s">
        <v>3</v>
      </c>
      <c r="F6" s="68" t="s">
        <v>3</v>
      </c>
      <c r="G6" s="68" t="s">
        <v>3</v>
      </c>
      <c r="H6" s="69" t="s">
        <v>3</v>
      </c>
    </row>
    <row r="7" spans="1:8">
      <c r="A7" s="70" t="s">
        <v>3</v>
      </c>
      <c r="B7" s="71" t="s">
        <v>3</v>
      </c>
      <c r="C7" s="71" t="s">
        <v>3</v>
      </c>
      <c r="D7" s="71" t="s">
        <v>3</v>
      </c>
      <c r="E7" s="71" t="s">
        <v>3</v>
      </c>
      <c r="F7" s="71" t="s">
        <v>3</v>
      </c>
      <c r="G7" s="71" t="s">
        <v>3</v>
      </c>
      <c r="H7" s="72" t="s">
        <v>3</v>
      </c>
    </row>
    <row r="8" spans="1:8" ht="14.5">
      <c r="A8" s="1"/>
      <c r="B8" s="1"/>
      <c r="C8" s="1"/>
      <c r="D8" s="1"/>
      <c r="E8" s="1"/>
      <c r="F8" s="1"/>
      <c r="G8" s="1"/>
      <c r="H8" s="1"/>
    </row>
    <row r="9" spans="1:8" ht="14.5">
      <c r="A9" s="64" t="s">
        <v>4</v>
      </c>
      <c r="B9" s="65" t="s">
        <v>4</v>
      </c>
      <c r="C9" s="65" t="s">
        <v>4</v>
      </c>
      <c r="D9" s="65" t="s">
        <v>4</v>
      </c>
      <c r="E9" s="65" t="s">
        <v>4</v>
      </c>
      <c r="F9" s="65" t="s">
        <v>4</v>
      </c>
      <c r="G9" s="65" t="s">
        <v>4</v>
      </c>
      <c r="H9" s="66" t="s">
        <v>4</v>
      </c>
    </row>
    <row r="10" spans="1:8">
      <c r="A10" s="67" t="s">
        <v>5</v>
      </c>
      <c r="B10" s="68" t="s">
        <v>5</v>
      </c>
      <c r="C10" s="68" t="s">
        <v>5</v>
      </c>
      <c r="D10" s="68" t="s">
        <v>5</v>
      </c>
      <c r="E10" s="68" t="s">
        <v>5</v>
      </c>
      <c r="F10" s="68" t="s">
        <v>5</v>
      </c>
      <c r="G10" s="68" t="s">
        <v>5</v>
      </c>
      <c r="H10" s="69" t="s">
        <v>5</v>
      </c>
    </row>
    <row r="11" spans="1:8">
      <c r="A11" s="70" t="s">
        <v>5</v>
      </c>
      <c r="B11" s="71" t="s">
        <v>5</v>
      </c>
      <c r="C11" s="71" t="s">
        <v>5</v>
      </c>
      <c r="D11" s="71" t="s">
        <v>5</v>
      </c>
      <c r="E11" s="71" t="s">
        <v>5</v>
      </c>
      <c r="F11" s="71" t="s">
        <v>5</v>
      </c>
      <c r="G11" s="71" t="s">
        <v>5</v>
      </c>
      <c r="H11" s="72" t="s">
        <v>5</v>
      </c>
    </row>
    <row r="12" spans="1:8" ht="14.5">
      <c r="A12" s="1"/>
      <c r="B12" s="1"/>
      <c r="C12" s="1"/>
      <c r="D12" s="1"/>
      <c r="E12" s="1"/>
      <c r="F12" s="1"/>
      <c r="G12" s="1"/>
      <c r="H12" s="1"/>
    </row>
    <row r="13" spans="1:8" ht="14.5">
      <c r="A13" s="64" t="s">
        <v>6</v>
      </c>
      <c r="B13" s="65" t="s">
        <v>6</v>
      </c>
      <c r="C13" s="65" t="s">
        <v>6</v>
      </c>
      <c r="D13" s="65" t="s">
        <v>6</v>
      </c>
      <c r="E13" s="65" t="s">
        <v>6</v>
      </c>
      <c r="F13" s="65" t="s">
        <v>6</v>
      </c>
      <c r="G13" s="65" t="s">
        <v>6</v>
      </c>
      <c r="H13" s="66" t="s">
        <v>6</v>
      </c>
    </row>
    <row r="14" spans="1:8">
      <c r="A14" s="67" t="s">
        <v>7</v>
      </c>
      <c r="B14" s="68" t="s">
        <v>7</v>
      </c>
      <c r="C14" s="68" t="s">
        <v>7</v>
      </c>
      <c r="D14" s="68" t="s">
        <v>7</v>
      </c>
      <c r="E14" s="68" t="s">
        <v>7</v>
      </c>
      <c r="F14" s="68" t="s">
        <v>7</v>
      </c>
      <c r="G14" s="68" t="s">
        <v>7</v>
      </c>
      <c r="H14" s="69" t="s">
        <v>7</v>
      </c>
    </row>
    <row r="15" spans="1:8">
      <c r="A15" s="70" t="s">
        <v>7</v>
      </c>
      <c r="B15" s="71" t="s">
        <v>7</v>
      </c>
      <c r="C15" s="71" t="s">
        <v>7</v>
      </c>
      <c r="D15" s="71" t="s">
        <v>7</v>
      </c>
      <c r="E15" s="71" t="s">
        <v>7</v>
      </c>
      <c r="F15" s="71" t="s">
        <v>7</v>
      </c>
      <c r="G15" s="71" t="s">
        <v>7</v>
      </c>
      <c r="H15" s="72" t="s">
        <v>7</v>
      </c>
    </row>
    <row r="16" spans="1:8" ht="14.5">
      <c r="A16" s="1"/>
      <c r="B16" s="1"/>
      <c r="C16" s="1"/>
      <c r="D16" s="1"/>
      <c r="E16" s="1"/>
      <c r="F16" s="1"/>
      <c r="G16" s="1"/>
      <c r="H16" s="1"/>
    </row>
    <row r="17" spans="1:8" ht="14.5">
      <c r="A17" s="64" t="s">
        <v>8</v>
      </c>
      <c r="B17" s="65" t="s">
        <v>8</v>
      </c>
      <c r="C17" s="65" t="s">
        <v>8</v>
      </c>
      <c r="D17" s="65" t="s">
        <v>8</v>
      </c>
      <c r="E17" s="65" t="s">
        <v>8</v>
      </c>
      <c r="F17" s="65" t="s">
        <v>8</v>
      </c>
      <c r="G17" s="65" t="s">
        <v>8</v>
      </c>
      <c r="H17" s="66" t="s">
        <v>8</v>
      </c>
    </row>
    <row r="18" spans="1:8">
      <c r="A18" s="67" t="s">
        <v>9</v>
      </c>
      <c r="B18" s="68" t="s">
        <v>9</v>
      </c>
      <c r="C18" s="68" t="s">
        <v>9</v>
      </c>
      <c r="D18" s="68" t="s">
        <v>9</v>
      </c>
      <c r="E18" s="68" t="s">
        <v>9</v>
      </c>
      <c r="F18" s="68" t="s">
        <v>9</v>
      </c>
      <c r="G18" s="68" t="s">
        <v>9</v>
      </c>
      <c r="H18" s="69" t="s">
        <v>9</v>
      </c>
    </row>
    <row r="19" spans="1:8">
      <c r="A19" s="70" t="s">
        <v>9</v>
      </c>
      <c r="B19" s="71" t="s">
        <v>9</v>
      </c>
      <c r="C19" s="71" t="s">
        <v>9</v>
      </c>
      <c r="D19" s="71" t="s">
        <v>9</v>
      </c>
      <c r="E19" s="71" t="s">
        <v>9</v>
      </c>
      <c r="F19" s="71" t="s">
        <v>9</v>
      </c>
      <c r="G19" s="71" t="s">
        <v>9</v>
      </c>
      <c r="H19" s="72" t="s">
        <v>9</v>
      </c>
    </row>
    <row r="20" spans="1:8" ht="14.5">
      <c r="A20" s="1"/>
      <c r="B20" s="1"/>
      <c r="C20" s="1"/>
      <c r="D20" s="1"/>
      <c r="E20" s="1"/>
      <c r="F20" s="1"/>
      <c r="G20" s="1"/>
      <c r="H20" s="1"/>
    </row>
    <row r="21" spans="1:8" ht="14.5">
      <c r="A21" s="64" t="s">
        <v>10</v>
      </c>
      <c r="B21" s="65" t="s">
        <v>10</v>
      </c>
      <c r="C21" s="65" t="s">
        <v>10</v>
      </c>
      <c r="D21" s="65" t="s">
        <v>10</v>
      </c>
      <c r="E21" s="65" t="s">
        <v>10</v>
      </c>
      <c r="F21" s="65" t="s">
        <v>10</v>
      </c>
      <c r="G21" s="65" t="s">
        <v>10</v>
      </c>
      <c r="H21" s="66" t="s">
        <v>10</v>
      </c>
    </row>
    <row r="22" spans="1:8">
      <c r="A22" s="67" t="s">
        <v>11</v>
      </c>
      <c r="B22" s="68" t="s">
        <v>11</v>
      </c>
      <c r="C22" s="68" t="s">
        <v>11</v>
      </c>
      <c r="D22" s="68" t="s">
        <v>11</v>
      </c>
      <c r="E22" s="68" t="s">
        <v>11</v>
      </c>
      <c r="F22" s="68" t="s">
        <v>11</v>
      </c>
      <c r="G22" s="68" t="s">
        <v>11</v>
      </c>
      <c r="H22" s="69" t="s">
        <v>11</v>
      </c>
    </row>
    <row r="23" spans="1:8">
      <c r="A23" s="70" t="s">
        <v>11</v>
      </c>
      <c r="B23" s="71" t="s">
        <v>11</v>
      </c>
      <c r="C23" s="71" t="s">
        <v>11</v>
      </c>
      <c r="D23" s="71" t="s">
        <v>11</v>
      </c>
      <c r="E23" s="71" t="s">
        <v>11</v>
      </c>
      <c r="F23" s="71" t="s">
        <v>11</v>
      </c>
      <c r="G23" s="71" t="s">
        <v>11</v>
      </c>
      <c r="H23" s="72" t="s">
        <v>11</v>
      </c>
    </row>
    <row r="24" spans="1:8" ht="14.5">
      <c r="A24" s="1"/>
      <c r="B24" s="1"/>
      <c r="C24" s="1"/>
      <c r="D24" s="1"/>
      <c r="E24" s="1"/>
      <c r="F24" s="1"/>
      <c r="G24" s="1"/>
      <c r="H24" s="1"/>
    </row>
    <row r="25" spans="1:8" ht="14.5">
      <c r="A25" s="64" t="s">
        <v>12</v>
      </c>
      <c r="B25" s="65" t="s">
        <v>12</v>
      </c>
      <c r="C25" s="65" t="s">
        <v>12</v>
      </c>
      <c r="D25" s="65" t="s">
        <v>12</v>
      </c>
      <c r="E25" s="65" t="s">
        <v>12</v>
      </c>
      <c r="F25" s="65" t="s">
        <v>12</v>
      </c>
      <c r="G25" s="65" t="s">
        <v>12</v>
      </c>
      <c r="H25" s="66" t="s">
        <v>12</v>
      </c>
    </row>
    <row r="26" spans="1:8">
      <c r="A26" s="67" t="s">
        <v>13</v>
      </c>
      <c r="B26" s="68" t="s">
        <v>13</v>
      </c>
      <c r="C26" s="68" t="s">
        <v>13</v>
      </c>
      <c r="D26" s="68" t="s">
        <v>13</v>
      </c>
      <c r="E26" s="68" t="s">
        <v>13</v>
      </c>
      <c r="F26" s="68" t="s">
        <v>13</v>
      </c>
      <c r="G26" s="68" t="s">
        <v>13</v>
      </c>
      <c r="H26" s="69" t="s">
        <v>13</v>
      </c>
    </row>
    <row r="27" spans="1:8">
      <c r="A27" s="70" t="s">
        <v>13</v>
      </c>
      <c r="B27" s="71" t="s">
        <v>13</v>
      </c>
      <c r="C27" s="71" t="s">
        <v>13</v>
      </c>
      <c r="D27" s="71" t="s">
        <v>13</v>
      </c>
      <c r="E27" s="71" t="s">
        <v>13</v>
      </c>
      <c r="F27" s="71" t="s">
        <v>13</v>
      </c>
      <c r="G27" s="71" t="s">
        <v>13</v>
      </c>
      <c r="H27" s="72" t="s">
        <v>13</v>
      </c>
    </row>
    <row r="28" spans="1:8" ht="14.5">
      <c r="A28" s="1"/>
      <c r="B28" s="1"/>
      <c r="C28" s="1"/>
      <c r="D28" s="1"/>
      <c r="E28" s="1"/>
      <c r="F28" s="1"/>
      <c r="G28" s="1"/>
      <c r="H28" s="1"/>
    </row>
    <row r="29" spans="1:8" ht="14.5">
      <c r="A29" s="1"/>
      <c r="B29" s="1"/>
      <c r="C29" s="1"/>
      <c r="D29" s="1"/>
      <c r="E29" s="1"/>
      <c r="F29" s="1"/>
      <c r="G29" s="1"/>
      <c r="H29" s="1"/>
    </row>
    <row r="30" spans="1:8">
      <c r="A30" s="73" t="s">
        <v>14</v>
      </c>
      <c r="B30" s="73" t="s">
        <v>14</v>
      </c>
      <c r="C30" s="73" t="s">
        <v>14</v>
      </c>
      <c r="D30" s="73" t="s">
        <v>14</v>
      </c>
      <c r="E30" s="73" t="s">
        <v>14</v>
      </c>
      <c r="F30" s="73" t="s">
        <v>14</v>
      </c>
      <c r="G30" s="73" t="s">
        <v>14</v>
      </c>
      <c r="H30" s="73" t="s">
        <v>14</v>
      </c>
    </row>
    <row r="31" spans="1:8">
      <c r="A31" s="73" t="s">
        <v>14</v>
      </c>
      <c r="B31" s="73" t="s">
        <v>14</v>
      </c>
      <c r="C31" s="73" t="s">
        <v>14</v>
      </c>
      <c r="D31" s="73" t="s">
        <v>14</v>
      </c>
      <c r="E31" s="73" t="s">
        <v>14</v>
      </c>
      <c r="F31" s="73" t="s">
        <v>14</v>
      </c>
      <c r="G31" s="73" t="s">
        <v>14</v>
      </c>
      <c r="H31" s="73" t="s">
        <v>14</v>
      </c>
    </row>
    <row r="32" spans="1:8">
      <c r="A32" s="73" t="s">
        <v>14</v>
      </c>
      <c r="B32" s="73" t="s">
        <v>14</v>
      </c>
      <c r="C32" s="73" t="s">
        <v>14</v>
      </c>
      <c r="D32" s="73" t="s">
        <v>14</v>
      </c>
      <c r="E32" s="73" t="s">
        <v>14</v>
      </c>
      <c r="F32" s="73" t="s">
        <v>14</v>
      </c>
      <c r="G32" s="73" t="s">
        <v>14</v>
      </c>
      <c r="H32" s="73" t="s">
        <v>14</v>
      </c>
    </row>
  </sheetData>
  <mergeCells count="15">
    <mergeCell ref="A21:H21"/>
    <mergeCell ref="A22:H23"/>
    <mergeCell ref="A25:H25"/>
    <mergeCell ref="A26:H27"/>
    <mergeCell ref="A30:H32"/>
    <mergeCell ref="A10:H11"/>
    <mergeCell ref="A13:H13"/>
    <mergeCell ref="A14:H15"/>
    <mergeCell ref="A17:H17"/>
    <mergeCell ref="A18:H19"/>
    <mergeCell ref="A1:H1"/>
    <mergeCell ref="A2:H2"/>
    <mergeCell ref="A5:H5"/>
    <mergeCell ref="A6:H7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9.9978637043366805E-2"/>
  </sheetPr>
  <dimension ref="A1:AP61"/>
  <sheetViews>
    <sheetView showGridLines="0" workbookViewId="0"/>
  </sheetViews>
  <sheetFormatPr defaultRowHeight="14"/>
  <cols>
    <col min="1" max="1" width="14" customWidth="1"/>
    <col min="2" max="2" width="40" customWidth="1"/>
    <col min="3" max="3" width="25" customWidth="1"/>
    <col min="4" max="22" width="14" customWidth="1"/>
    <col min="23" max="23" width="44" customWidth="1"/>
    <col min="24" max="39" width="14" customWidth="1"/>
    <col min="40" max="41" width="38" customWidth="1"/>
    <col min="42" max="42" width="14" customWidth="1"/>
  </cols>
  <sheetData>
    <row r="1" spans="1:42" ht="34" customHeight="1">
      <c r="A1" s="3" t="s">
        <v>65</v>
      </c>
      <c r="B1" s="3" t="s">
        <v>66</v>
      </c>
      <c r="C1" s="3" t="s">
        <v>67</v>
      </c>
      <c r="D1" s="3" t="s">
        <v>22</v>
      </c>
      <c r="E1" s="3" t="s">
        <v>17</v>
      </c>
      <c r="F1" s="3" t="s">
        <v>18</v>
      </c>
      <c r="G1" s="3" t="s">
        <v>19</v>
      </c>
      <c r="H1" s="3" t="s">
        <v>68</v>
      </c>
      <c r="I1" s="3" t="s">
        <v>69</v>
      </c>
      <c r="J1" s="3" t="s">
        <v>70</v>
      </c>
      <c r="K1" s="3" t="s">
        <v>15</v>
      </c>
      <c r="L1" s="3" t="s">
        <v>71</v>
      </c>
      <c r="M1" s="3" t="s">
        <v>72</v>
      </c>
      <c r="N1" s="3" t="s">
        <v>73</v>
      </c>
      <c r="O1" s="3" t="s">
        <v>74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21</v>
      </c>
      <c r="W1" s="3" t="s">
        <v>81</v>
      </c>
      <c r="X1" s="3" t="s">
        <v>82</v>
      </c>
      <c r="Y1" s="3" t="s">
        <v>83</v>
      </c>
      <c r="Z1" s="3" t="s">
        <v>84</v>
      </c>
      <c r="AA1" s="3" t="s">
        <v>85</v>
      </c>
      <c r="AB1" s="3" t="s">
        <v>86</v>
      </c>
      <c r="AC1" s="3" t="s">
        <v>87</v>
      </c>
      <c r="AD1" s="3" t="s">
        <v>88</v>
      </c>
      <c r="AE1" s="3" t="s">
        <v>89</v>
      </c>
      <c r="AF1" s="3" t="s">
        <v>90</v>
      </c>
      <c r="AG1" s="3" t="s">
        <v>91</v>
      </c>
      <c r="AH1" s="3" t="s">
        <v>92</v>
      </c>
      <c r="AI1" s="3" t="s">
        <v>93</v>
      </c>
      <c r="AJ1" s="3" t="s">
        <v>94</v>
      </c>
      <c r="AK1" s="3" t="s">
        <v>95</v>
      </c>
      <c r="AL1" s="3" t="s">
        <v>96</v>
      </c>
      <c r="AM1" s="3" t="s">
        <v>97</v>
      </c>
      <c r="AN1" s="3" t="s">
        <v>98</v>
      </c>
      <c r="AO1" s="3" t="s">
        <v>99</v>
      </c>
      <c r="AP1" s="3" t="s">
        <v>100</v>
      </c>
    </row>
    <row r="2" spans="1:42" ht="14.5">
      <c r="A2" s="1" t="s">
        <v>101</v>
      </c>
      <c r="B2" s="1" t="s">
        <v>102</v>
      </c>
      <c r="C2" s="1" t="s">
        <v>103</v>
      </c>
      <c r="D2" s="1" t="s">
        <v>46</v>
      </c>
      <c r="E2" s="1" t="s">
        <v>41</v>
      </c>
      <c r="F2" s="1" t="s">
        <v>55</v>
      </c>
      <c r="G2" s="1" t="s">
        <v>27</v>
      </c>
      <c r="H2" s="4">
        <v>45902</v>
      </c>
      <c r="I2" s="4">
        <v>45920</v>
      </c>
      <c r="J2" s="1" t="s">
        <v>63</v>
      </c>
      <c r="K2" s="1" t="s">
        <v>53</v>
      </c>
      <c r="L2" s="1" t="s">
        <v>104</v>
      </c>
      <c r="M2" s="1" t="s">
        <v>104</v>
      </c>
      <c r="N2" s="5">
        <v>62400</v>
      </c>
      <c r="O2" s="5">
        <v>62400</v>
      </c>
      <c r="P2" s="1">
        <v>12000</v>
      </c>
      <c r="Q2" s="1">
        <v>1</v>
      </c>
      <c r="R2" s="1">
        <v>12</v>
      </c>
      <c r="S2" s="1" t="s">
        <v>104</v>
      </c>
      <c r="T2" s="1" t="s">
        <v>104</v>
      </c>
      <c r="U2" s="1" t="s">
        <v>44</v>
      </c>
      <c r="V2" s="1" t="s">
        <v>29</v>
      </c>
      <c r="W2" s="1" t="s">
        <v>105</v>
      </c>
      <c r="X2" s="5"/>
      <c r="Y2" s="5"/>
      <c r="Z2" s="1"/>
      <c r="AA2" s="1" t="s">
        <v>106</v>
      </c>
      <c r="AB2" s="1">
        <v>1</v>
      </c>
      <c r="AC2" s="1">
        <v>7</v>
      </c>
      <c r="AD2" s="1">
        <v>0</v>
      </c>
      <c r="AE2" s="1">
        <v>0</v>
      </c>
      <c r="AF2" s="4">
        <v>45910</v>
      </c>
      <c r="AG2" s="4"/>
      <c r="AH2" s="4"/>
      <c r="AI2" s="5" t="str">
        <f t="shared" ref="AI2:AI33" si="0">IF(OR(X2="",Y2=""),"",X2-Y2)</f>
        <v/>
      </c>
      <c r="AJ2" s="6" t="str">
        <f t="shared" ref="AJ2:AJ33" si="1">IFERROR((X2-Y2)/Y2,"")</f>
        <v/>
      </c>
      <c r="AK2" s="7">
        <f t="shared" ref="AK2:AK33" si="2">IFERROR(X2/P2,"")</f>
        <v>0</v>
      </c>
      <c r="AL2" s="1">
        <f t="shared" ref="AL2:AL33" si="3">IF(AF2="","",AF2-H2)</f>
        <v>8</v>
      </c>
      <c r="AM2" s="1" t="str">
        <f t="shared" ref="AM2:AM33" si="4">IF(AG2="","",AG2-AF2)</f>
        <v/>
      </c>
      <c r="AN2" s="1" t="s">
        <v>107</v>
      </c>
      <c r="AO2" s="1" t="s">
        <v>108</v>
      </c>
      <c r="AP2" s="1" t="s">
        <v>109</v>
      </c>
    </row>
    <row r="3" spans="1:42" ht="14.5">
      <c r="A3" s="1" t="s">
        <v>110</v>
      </c>
      <c r="B3" s="1" t="s">
        <v>111</v>
      </c>
      <c r="C3" s="1" t="s">
        <v>112</v>
      </c>
      <c r="D3" s="1" t="s">
        <v>38</v>
      </c>
      <c r="E3" s="1" t="s">
        <v>49</v>
      </c>
      <c r="F3" s="1" t="s">
        <v>42</v>
      </c>
      <c r="G3" s="1" t="s">
        <v>35</v>
      </c>
      <c r="H3" s="4">
        <v>45903</v>
      </c>
      <c r="I3" s="4">
        <v>45922</v>
      </c>
      <c r="J3" s="1" t="s">
        <v>60</v>
      </c>
      <c r="K3" s="1" t="s">
        <v>31</v>
      </c>
      <c r="L3" s="1" t="s">
        <v>113</v>
      </c>
      <c r="M3" s="1" t="s">
        <v>113</v>
      </c>
      <c r="N3" s="5">
        <v>18000</v>
      </c>
      <c r="O3" s="5">
        <v>36000</v>
      </c>
      <c r="P3" s="1"/>
      <c r="Q3" s="1">
        <v>8</v>
      </c>
      <c r="R3" s="1">
        <v>24</v>
      </c>
      <c r="S3" s="1" t="s">
        <v>113</v>
      </c>
      <c r="T3" s="1" t="s">
        <v>104</v>
      </c>
      <c r="U3" s="1" t="s">
        <v>28</v>
      </c>
      <c r="V3" s="1"/>
      <c r="W3" s="1" t="s">
        <v>114</v>
      </c>
      <c r="X3" s="5">
        <v>36000</v>
      </c>
      <c r="Y3" s="5">
        <v>33000</v>
      </c>
      <c r="Z3" s="1" t="s">
        <v>115</v>
      </c>
      <c r="AA3" s="1" t="s">
        <v>116</v>
      </c>
      <c r="AB3" s="1">
        <v>2</v>
      </c>
      <c r="AC3" s="1">
        <v>3</v>
      </c>
      <c r="AD3" s="1">
        <v>3</v>
      </c>
      <c r="AE3" s="1">
        <v>3</v>
      </c>
      <c r="AF3" s="4">
        <v>45908</v>
      </c>
      <c r="AG3" s="4">
        <v>45914</v>
      </c>
      <c r="AH3" s="4">
        <v>45941</v>
      </c>
      <c r="AI3" s="5">
        <f t="shared" si="0"/>
        <v>3000</v>
      </c>
      <c r="AJ3" s="6">
        <f t="shared" si="1"/>
        <v>9.0909090909090912E-2</v>
      </c>
      <c r="AK3" s="7" t="str">
        <f t="shared" si="2"/>
        <v/>
      </c>
      <c r="AL3" s="1">
        <f t="shared" si="3"/>
        <v>5</v>
      </c>
      <c r="AM3" s="1">
        <f t="shared" si="4"/>
        <v>6</v>
      </c>
      <c r="AN3" s="1" t="s">
        <v>117</v>
      </c>
      <c r="AO3" s="1" t="s">
        <v>118</v>
      </c>
      <c r="AP3" s="1" t="s">
        <v>109</v>
      </c>
    </row>
    <row r="4" spans="1:42" ht="14.5">
      <c r="A4" s="1" t="s">
        <v>119</v>
      </c>
      <c r="B4" s="1" t="s">
        <v>120</v>
      </c>
      <c r="C4" s="1" t="s">
        <v>121</v>
      </c>
      <c r="D4" s="1" t="s">
        <v>30</v>
      </c>
      <c r="E4" s="1" t="s">
        <v>61</v>
      </c>
      <c r="F4" s="1" t="s">
        <v>55</v>
      </c>
      <c r="G4" s="1" t="s">
        <v>43</v>
      </c>
      <c r="H4" s="4">
        <v>45904</v>
      </c>
      <c r="I4" s="4">
        <v>45924</v>
      </c>
      <c r="J4" s="1" t="s">
        <v>63</v>
      </c>
      <c r="K4" s="1" t="s">
        <v>53</v>
      </c>
      <c r="L4" s="1" t="s">
        <v>104</v>
      </c>
      <c r="M4" s="1" t="s">
        <v>104</v>
      </c>
      <c r="N4" s="5">
        <v>68500</v>
      </c>
      <c r="O4" s="5">
        <v>205500</v>
      </c>
      <c r="P4" s="1">
        <v>87862</v>
      </c>
      <c r="Q4" s="1">
        <v>1</v>
      </c>
      <c r="R4" s="1">
        <v>36</v>
      </c>
      <c r="S4" s="1" t="s">
        <v>113</v>
      </c>
      <c r="T4" s="1" t="s">
        <v>104</v>
      </c>
      <c r="U4" s="1" t="s">
        <v>36</v>
      </c>
      <c r="V4" s="1" t="s">
        <v>29</v>
      </c>
      <c r="W4" s="1" t="s">
        <v>105</v>
      </c>
      <c r="X4" s="5"/>
      <c r="Y4" s="5"/>
      <c r="Z4" s="1"/>
      <c r="AA4" s="1" t="s">
        <v>122</v>
      </c>
      <c r="AB4" s="1">
        <v>3</v>
      </c>
      <c r="AC4" s="1">
        <v>4</v>
      </c>
      <c r="AD4" s="1">
        <v>0</v>
      </c>
      <c r="AE4" s="1">
        <v>0</v>
      </c>
      <c r="AF4" s="4">
        <v>45911</v>
      </c>
      <c r="AG4" s="4"/>
      <c r="AH4" s="4"/>
      <c r="AI4" s="5" t="str">
        <f t="shared" si="0"/>
        <v/>
      </c>
      <c r="AJ4" s="6" t="str">
        <f t="shared" si="1"/>
        <v/>
      </c>
      <c r="AK4" s="7">
        <f t="shared" si="2"/>
        <v>0</v>
      </c>
      <c r="AL4" s="1">
        <f t="shared" si="3"/>
        <v>7</v>
      </c>
      <c r="AM4" s="1" t="str">
        <f t="shared" si="4"/>
        <v/>
      </c>
      <c r="AN4" s="1" t="s">
        <v>107</v>
      </c>
      <c r="AO4" s="1" t="s">
        <v>108</v>
      </c>
      <c r="AP4" s="1" t="s">
        <v>109</v>
      </c>
    </row>
    <row r="5" spans="1:42" ht="14.5">
      <c r="A5" s="1" t="s">
        <v>123</v>
      </c>
      <c r="B5" s="1" t="s">
        <v>124</v>
      </c>
      <c r="C5" s="1" t="s">
        <v>125</v>
      </c>
      <c r="D5" s="1" t="s">
        <v>46</v>
      </c>
      <c r="E5" s="1" t="s">
        <v>33</v>
      </c>
      <c r="F5" s="1" t="s">
        <v>34</v>
      </c>
      <c r="G5" s="1" t="s">
        <v>51</v>
      </c>
      <c r="H5" s="4">
        <v>45905</v>
      </c>
      <c r="I5" s="4">
        <v>45926</v>
      </c>
      <c r="J5" s="1" t="s">
        <v>60</v>
      </c>
      <c r="K5" s="1" t="s">
        <v>31</v>
      </c>
      <c r="L5" s="1" t="s">
        <v>113</v>
      </c>
      <c r="M5" s="1" t="s">
        <v>113</v>
      </c>
      <c r="N5" s="5">
        <v>320800</v>
      </c>
      <c r="O5" s="5">
        <v>320800</v>
      </c>
      <c r="P5" s="1">
        <v>125793</v>
      </c>
      <c r="Q5" s="1">
        <v>8</v>
      </c>
      <c r="R5" s="1">
        <v>12</v>
      </c>
      <c r="S5" s="1" t="s">
        <v>104</v>
      </c>
      <c r="T5" s="1" t="s">
        <v>104</v>
      </c>
      <c r="U5" s="1" t="s">
        <v>28</v>
      </c>
      <c r="V5" s="1"/>
      <c r="W5" s="1" t="s">
        <v>114</v>
      </c>
      <c r="X5" s="5">
        <v>320800</v>
      </c>
      <c r="Y5" s="5">
        <v>286400</v>
      </c>
      <c r="Z5" s="1" t="s">
        <v>116</v>
      </c>
      <c r="AA5" s="1" t="s">
        <v>126</v>
      </c>
      <c r="AB5" s="1">
        <v>1</v>
      </c>
      <c r="AC5" s="1">
        <v>5</v>
      </c>
      <c r="AD5" s="1">
        <v>5</v>
      </c>
      <c r="AE5" s="1">
        <v>2</v>
      </c>
      <c r="AF5" s="4">
        <v>45911</v>
      </c>
      <c r="AG5" s="4">
        <v>45918</v>
      </c>
      <c r="AH5" s="4">
        <v>45947</v>
      </c>
      <c r="AI5" s="5">
        <f t="shared" si="0"/>
        <v>34400</v>
      </c>
      <c r="AJ5" s="6">
        <f t="shared" si="1"/>
        <v>0.12011173184357542</v>
      </c>
      <c r="AK5" s="7">
        <f t="shared" si="2"/>
        <v>2.5502213954671564</v>
      </c>
      <c r="AL5" s="1">
        <f t="shared" si="3"/>
        <v>6</v>
      </c>
      <c r="AM5" s="1">
        <f t="shared" si="4"/>
        <v>7</v>
      </c>
      <c r="AN5" s="1" t="s">
        <v>117</v>
      </c>
      <c r="AO5" s="1" t="s">
        <v>118</v>
      </c>
      <c r="AP5" s="1" t="s">
        <v>109</v>
      </c>
    </row>
    <row r="6" spans="1:42" ht="14.5">
      <c r="A6" s="1" t="s">
        <v>127</v>
      </c>
      <c r="B6" s="1" t="s">
        <v>128</v>
      </c>
      <c r="C6" s="1" t="s">
        <v>129</v>
      </c>
      <c r="D6" s="1" t="s">
        <v>46</v>
      </c>
      <c r="E6" s="1" t="s">
        <v>54</v>
      </c>
      <c r="F6" s="1" t="s">
        <v>50</v>
      </c>
      <c r="G6" s="1" t="s">
        <v>27</v>
      </c>
      <c r="H6" s="4">
        <v>45906</v>
      </c>
      <c r="I6" s="4">
        <v>45928</v>
      </c>
      <c r="J6" s="1" t="s">
        <v>63</v>
      </c>
      <c r="K6" s="1" t="s">
        <v>53</v>
      </c>
      <c r="L6" s="1" t="s">
        <v>104</v>
      </c>
      <c r="M6" s="1" t="s">
        <v>104</v>
      </c>
      <c r="N6" s="5">
        <v>75300</v>
      </c>
      <c r="O6" s="5">
        <v>150600</v>
      </c>
      <c r="P6" s="1">
        <v>163724</v>
      </c>
      <c r="Q6" s="1">
        <v>1</v>
      </c>
      <c r="R6" s="1">
        <v>24</v>
      </c>
      <c r="S6" s="1" t="s">
        <v>104</v>
      </c>
      <c r="T6" s="1" t="s">
        <v>104</v>
      </c>
      <c r="U6" s="1" t="s">
        <v>28</v>
      </c>
      <c r="V6" s="1" t="s">
        <v>56</v>
      </c>
      <c r="W6" s="1" t="s">
        <v>130</v>
      </c>
      <c r="X6" s="5"/>
      <c r="Y6" s="5"/>
      <c r="Z6" s="1"/>
      <c r="AA6" s="1" t="s">
        <v>129</v>
      </c>
      <c r="AB6" s="1">
        <v>2</v>
      </c>
      <c r="AC6" s="1">
        <v>2</v>
      </c>
      <c r="AD6" s="1">
        <v>0</v>
      </c>
      <c r="AE6" s="1">
        <v>0</v>
      </c>
      <c r="AF6" s="4">
        <v>45910</v>
      </c>
      <c r="AG6" s="4"/>
      <c r="AH6" s="4"/>
      <c r="AI6" s="5" t="str">
        <f t="shared" si="0"/>
        <v/>
      </c>
      <c r="AJ6" s="6" t="str">
        <f t="shared" si="1"/>
        <v/>
      </c>
      <c r="AK6" s="7">
        <f t="shared" si="2"/>
        <v>0</v>
      </c>
      <c r="AL6" s="1">
        <f t="shared" si="3"/>
        <v>4</v>
      </c>
      <c r="AM6" s="1" t="str">
        <f t="shared" si="4"/>
        <v/>
      </c>
      <c r="AN6" s="1" t="s">
        <v>107</v>
      </c>
      <c r="AO6" s="1" t="s">
        <v>108</v>
      </c>
      <c r="AP6" s="1" t="s">
        <v>109</v>
      </c>
    </row>
    <row r="7" spans="1:42" ht="14.5">
      <c r="A7" s="1" t="s">
        <v>131</v>
      </c>
      <c r="B7" s="1" t="s">
        <v>132</v>
      </c>
      <c r="C7" s="1" t="s">
        <v>121</v>
      </c>
      <c r="D7" s="1" t="s">
        <v>30</v>
      </c>
      <c r="E7" s="1" t="s">
        <v>25</v>
      </c>
      <c r="F7" s="1" t="s">
        <v>34</v>
      </c>
      <c r="G7" s="1" t="s">
        <v>35</v>
      </c>
      <c r="H7" s="4">
        <v>45937</v>
      </c>
      <c r="I7" s="4">
        <v>45960</v>
      </c>
      <c r="J7" s="1" t="s">
        <v>60</v>
      </c>
      <c r="K7" s="1" t="s">
        <v>31</v>
      </c>
      <c r="L7" s="1" t="s">
        <v>113</v>
      </c>
      <c r="M7" s="1" t="s">
        <v>113</v>
      </c>
      <c r="N7" s="5">
        <v>453700</v>
      </c>
      <c r="O7" s="5">
        <v>1361100</v>
      </c>
      <c r="P7" s="1">
        <v>201655</v>
      </c>
      <c r="Q7" s="1">
        <v>8</v>
      </c>
      <c r="R7" s="1">
        <v>36</v>
      </c>
      <c r="S7" s="1" t="s">
        <v>113</v>
      </c>
      <c r="T7" s="1" t="s">
        <v>113</v>
      </c>
      <c r="U7" s="1" t="s">
        <v>28</v>
      </c>
      <c r="V7" s="1"/>
      <c r="W7" s="1" t="s">
        <v>114</v>
      </c>
      <c r="X7" s="5">
        <v>1361100</v>
      </c>
      <c r="Y7" s="5">
        <v>1266100</v>
      </c>
      <c r="Z7" s="1" t="s">
        <v>126</v>
      </c>
      <c r="AA7" s="1" t="s">
        <v>115</v>
      </c>
      <c r="AB7" s="1">
        <v>3</v>
      </c>
      <c r="AC7" s="1">
        <v>3</v>
      </c>
      <c r="AD7" s="1">
        <v>3</v>
      </c>
      <c r="AE7" s="1">
        <v>4</v>
      </c>
      <c r="AF7" s="4">
        <v>45943</v>
      </c>
      <c r="AG7" s="4">
        <v>45950</v>
      </c>
      <c r="AH7" s="4">
        <v>45983</v>
      </c>
      <c r="AI7" s="5">
        <f t="shared" si="0"/>
        <v>95000</v>
      </c>
      <c r="AJ7" s="6">
        <f t="shared" si="1"/>
        <v>7.5033567648684935E-2</v>
      </c>
      <c r="AK7" s="7">
        <f t="shared" si="2"/>
        <v>6.7496466737745155</v>
      </c>
      <c r="AL7" s="1">
        <f t="shared" si="3"/>
        <v>6</v>
      </c>
      <c r="AM7" s="1">
        <f t="shared" si="4"/>
        <v>7</v>
      </c>
      <c r="AN7" s="1" t="s">
        <v>117</v>
      </c>
      <c r="AO7" s="1" t="s">
        <v>118</v>
      </c>
      <c r="AP7" s="1" t="s">
        <v>133</v>
      </c>
    </row>
    <row r="8" spans="1:42" ht="14.5">
      <c r="A8" s="1" t="s">
        <v>134</v>
      </c>
      <c r="B8" s="1" t="s">
        <v>135</v>
      </c>
      <c r="C8" s="1" t="s">
        <v>125</v>
      </c>
      <c r="D8" s="1" t="s">
        <v>46</v>
      </c>
      <c r="E8" s="1" t="s">
        <v>49</v>
      </c>
      <c r="F8" s="1" t="s">
        <v>50</v>
      </c>
      <c r="G8" s="1" t="s">
        <v>43</v>
      </c>
      <c r="H8" s="4">
        <v>45938</v>
      </c>
      <c r="I8" s="4">
        <v>45962</v>
      </c>
      <c r="J8" s="1" t="s">
        <v>60</v>
      </c>
      <c r="K8" s="1" t="s">
        <v>31</v>
      </c>
      <c r="L8" s="1" t="s">
        <v>113</v>
      </c>
      <c r="M8" s="1" t="s">
        <v>113</v>
      </c>
      <c r="N8" s="5">
        <v>18000</v>
      </c>
      <c r="O8" s="5">
        <v>18000</v>
      </c>
      <c r="P8" s="1"/>
      <c r="Q8" s="1">
        <v>1</v>
      </c>
      <c r="R8" s="1">
        <v>12</v>
      </c>
      <c r="S8" s="1" t="s">
        <v>104</v>
      </c>
      <c r="T8" s="1" t="s">
        <v>104</v>
      </c>
      <c r="U8" s="1" t="s">
        <v>28</v>
      </c>
      <c r="V8" s="1"/>
      <c r="W8" s="1" t="s">
        <v>114</v>
      </c>
      <c r="X8" s="5">
        <v>18000</v>
      </c>
      <c r="Y8" s="5">
        <v>16500</v>
      </c>
      <c r="Z8" s="1" t="s">
        <v>129</v>
      </c>
      <c r="AA8" s="1" t="s">
        <v>106</v>
      </c>
      <c r="AB8" s="1">
        <v>1</v>
      </c>
      <c r="AC8" s="1">
        <v>4</v>
      </c>
      <c r="AD8" s="1">
        <v>4</v>
      </c>
      <c r="AE8" s="1">
        <v>2</v>
      </c>
      <c r="AF8" s="4">
        <v>45943</v>
      </c>
      <c r="AG8" s="4">
        <v>45949</v>
      </c>
      <c r="AH8" s="4">
        <v>45986</v>
      </c>
      <c r="AI8" s="5">
        <f t="shared" si="0"/>
        <v>1500</v>
      </c>
      <c r="AJ8" s="6">
        <f t="shared" si="1"/>
        <v>9.0909090909090912E-2</v>
      </c>
      <c r="AK8" s="7" t="str">
        <f t="shared" si="2"/>
        <v/>
      </c>
      <c r="AL8" s="1">
        <f t="shared" si="3"/>
        <v>5</v>
      </c>
      <c r="AM8" s="1">
        <f t="shared" si="4"/>
        <v>6</v>
      </c>
      <c r="AN8" s="1" t="s">
        <v>117</v>
      </c>
      <c r="AO8" s="1" t="s">
        <v>118</v>
      </c>
      <c r="AP8" s="1" t="s">
        <v>133</v>
      </c>
    </row>
    <row r="9" spans="1:42" ht="14.5">
      <c r="A9" s="1" t="s">
        <v>136</v>
      </c>
      <c r="B9" s="1" t="s">
        <v>137</v>
      </c>
      <c r="C9" s="1" t="s">
        <v>129</v>
      </c>
      <c r="D9" s="1" t="s">
        <v>46</v>
      </c>
      <c r="E9" s="1" t="s">
        <v>61</v>
      </c>
      <c r="F9" s="1" t="s">
        <v>26</v>
      </c>
      <c r="G9" s="1" t="s">
        <v>51</v>
      </c>
      <c r="H9" s="4">
        <v>45939</v>
      </c>
      <c r="I9" s="4">
        <v>45964</v>
      </c>
      <c r="J9" s="1" t="s">
        <v>60</v>
      </c>
      <c r="K9" s="1" t="s">
        <v>31</v>
      </c>
      <c r="L9" s="1" t="s">
        <v>113</v>
      </c>
      <c r="M9" s="1" t="s">
        <v>113</v>
      </c>
      <c r="N9" s="5">
        <v>216500</v>
      </c>
      <c r="O9" s="5">
        <v>433000</v>
      </c>
      <c r="P9" s="1">
        <v>277517</v>
      </c>
      <c r="Q9" s="1">
        <v>8</v>
      </c>
      <c r="R9" s="1">
        <v>24</v>
      </c>
      <c r="S9" s="1" t="s">
        <v>104</v>
      </c>
      <c r="T9" s="1" t="s">
        <v>104</v>
      </c>
      <c r="U9" s="1" t="s">
        <v>28</v>
      </c>
      <c r="V9" s="1"/>
      <c r="W9" s="1" t="s">
        <v>114</v>
      </c>
      <c r="X9" s="5">
        <v>433000</v>
      </c>
      <c r="Y9" s="5">
        <v>391900</v>
      </c>
      <c r="Z9" s="1" t="s">
        <v>115</v>
      </c>
      <c r="AA9" s="1" t="s">
        <v>116</v>
      </c>
      <c r="AB9" s="1">
        <v>2</v>
      </c>
      <c r="AC9" s="1">
        <v>5</v>
      </c>
      <c r="AD9" s="1">
        <v>5</v>
      </c>
      <c r="AE9" s="1">
        <v>3</v>
      </c>
      <c r="AF9" s="4">
        <v>45946</v>
      </c>
      <c r="AG9" s="4">
        <v>45954</v>
      </c>
      <c r="AH9" s="4">
        <v>45989</v>
      </c>
      <c r="AI9" s="5">
        <f t="shared" si="0"/>
        <v>41100</v>
      </c>
      <c r="AJ9" s="6">
        <f t="shared" si="1"/>
        <v>0.10487369226843582</v>
      </c>
      <c r="AK9" s="7">
        <f t="shared" si="2"/>
        <v>1.5602647765722459</v>
      </c>
      <c r="AL9" s="1">
        <f t="shared" si="3"/>
        <v>7</v>
      </c>
      <c r="AM9" s="1">
        <f t="shared" si="4"/>
        <v>8</v>
      </c>
      <c r="AN9" s="1" t="s">
        <v>117</v>
      </c>
      <c r="AO9" s="1" t="s">
        <v>118</v>
      </c>
      <c r="AP9" s="1" t="s">
        <v>133</v>
      </c>
    </row>
    <row r="10" spans="1:42" ht="14.5">
      <c r="A10" s="1" t="s">
        <v>138</v>
      </c>
      <c r="B10" s="1" t="s">
        <v>139</v>
      </c>
      <c r="C10" s="1" t="s">
        <v>140</v>
      </c>
      <c r="D10" s="1" t="s">
        <v>46</v>
      </c>
      <c r="E10" s="1" t="s">
        <v>33</v>
      </c>
      <c r="F10" s="1" t="s">
        <v>42</v>
      </c>
      <c r="G10" s="1" t="s">
        <v>27</v>
      </c>
      <c r="H10" s="4">
        <v>45940</v>
      </c>
      <c r="I10" s="4">
        <v>45966</v>
      </c>
      <c r="J10" s="1" t="s">
        <v>63</v>
      </c>
      <c r="K10" s="1" t="s">
        <v>53</v>
      </c>
      <c r="L10" s="1" t="s">
        <v>104</v>
      </c>
      <c r="M10" s="1" t="s">
        <v>104</v>
      </c>
      <c r="N10" s="5">
        <v>804400</v>
      </c>
      <c r="O10" s="5">
        <v>2413200</v>
      </c>
      <c r="P10" s="1">
        <v>315448</v>
      </c>
      <c r="Q10" s="1">
        <v>1</v>
      </c>
      <c r="R10" s="1">
        <v>36</v>
      </c>
      <c r="S10" s="1" t="s">
        <v>104</v>
      </c>
      <c r="T10" s="1" t="s">
        <v>104</v>
      </c>
      <c r="U10" s="1" t="s">
        <v>28</v>
      </c>
      <c r="V10" s="1" t="s">
        <v>45</v>
      </c>
      <c r="W10" s="1" t="s">
        <v>141</v>
      </c>
      <c r="X10" s="5"/>
      <c r="Y10" s="5"/>
      <c r="Z10" s="1"/>
      <c r="AA10" s="1" t="s">
        <v>122</v>
      </c>
      <c r="AB10" s="1">
        <v>3</v>
      </c>
      <c r="AC10" s="1">
        <v>2</v>
      </c>
      <c r="AD10" s="1">
        <v>0</v>
      </c>
      <c r="AE10" s="1">
        <v>0</v>
      </c>
      <c r="AF10" s="4">
        <v>45945</v>
      </c>
      <c r="AG10" s="4"/>
      <c r="AH10" s="4"/>
      <c r="AI10" s="5" t="str">
        <f t="shared" si="0"/>
        <v/>
      </c>
      <c r="AJ10" s="6" t="str">
        <f t="shared" si="1"/>
        <v/>
      </c>
      <c r="AK10" s="7">
        <f t="shared" si="2"/>
        <v>0</v>
      </c>
      <c r="AL10" s="1">
        <f t="shared" si="3"/>
        <v>5</v>
      </c>
      <c r="AM10" s="1" t="str">
        <f t="shared" si="4"/>
        <v/>
      </c>
      <c r="AN10" s="1" t="s">
        <v>107</v>
      </c>
      <c r="AO10" s="1" t="s">
        <v>108</v>
      </c>
      <c r="AP10" s="1" t="s">
        <v>133</v>
      </c>
    </row>
    <row r="11" spans="1:42" ht="14.5">
      <c r="A11" s="1" t="s">
        <v>142</v>
      </c>
      <c r="B11" s="1" t="s">
        <v>143</v>
      </c>
      <c r="C11" s="1" t="s">
        <v>144</v>
      </c>
      <c r="D11" s="1" t="s">
        <v>38</v>
      </c>
      <c r="E11" s="1" t="s">
        <v>54</v>
      </c>
      <c r="F11" s="1" t="s">
        <v>55</v>
      </c>
      <c r="G11" s="1" t="s">
        <v>35</v>
      </c>
      <c r="H11" s="4">
        <v>45941</v>
      </c>
      <c r="I11" s="4">
        <v>45968</v>
      </c>
      <c r="J11" s="1" t="s">
        <v>63</v>
      </c>
      <c r="K11" s="1" t="s">
        <v>53</v>
      </c>
      <c r="L11" s="1" t="s">
        <v>104</v>
      </c>
      <c r="M11" s="1" t="s">
        <v>104</v>
      </c>
      <c r="N11" s="5">
        <v>162600</v>
      </c>
      <c r="O11" s="5">
        <v>162600</v>
      </c>
      <c r="P11" s="1">
        <v>353379</v>
      </c>
      <c r="Q11" s="1">
        <v>8</v>
      </c>
      <c r="R11" s="1">
        <v>12</v>
      </c>
      <c r="S11" s="1" t="s">
        <v>104</v>
      </c>
      <c r="T11" s="1" t="s">
        <v>104</v>
      </c>
      <c r="U11" s="1" t="s">
        <v>36</v>
      </c>
      <c r="V11" s="1" t="s">
        <v>29</v>
      </c>
      <c r="W11" s="1" t="s">
        <v>105</v>
      </c>
      <c r="X11" s="5"/>
      <c r="Y11" s="5"/>
      <c r="Z11" s="1"/>
      <c r="AA11" s="1" t="s">
        <v>126</v>
      </c>
      <c r="AB11" s="1">
        <v>1</v>
      </c>
      <c r="AC11" s="1">
        <v>3</v>
      </c>
      <c r="AD11" s="1">
        <v>0</v>
      </c>
      <c r="AE11" s="1">
        <v>0</v>
      </c>
      <c r="AF11" s="4">
        <v>45945</v>
      </c>
      <c r="AG11" s="4"/>
      <c r="AH11" s="4"/>
      <c r="AI11" s="5" t="str">
        <f t="shared" si="0"/>
        <v/>
      </c>
      <c r="AJ11" s="6" t="str">
        <f t="shared" si="1"/>
        <v/>
      </c>
      <c r="AK11" s="7">
        <f t="shared" si="2"/>
        <v>0</v>
      </c>
      <c r="AL11" s="1">
        <f t="shared" si="3"/>
        <v>4</v>
      </c>
      <c r="AM11" s="1" t="str">
        <f t="shared" si="4"/>
        <v/>
      </c>
      <c r="AN11" s="1" t="s">
        <v>107</v>
      </c>
      <c r="AO11" s="1" t="s">
        <v>108</v>
      </c>
      <c r="AP11" s="1" t="s">
        <v>133</v>
      </c>
    </row>
    <row r="12" spans="1:42" ht="14.5">
      <c r="A12" s="1" t="s">
        <v>145</v>
      </c>
      <c r="B12" s="1" t="s">
        <v>146</v>
      </c>
      <c r="C12" s="1" t="s">
        <v>129</v>
      </c>
      <c r="D12" s="1" t="s">
        <v>46</v>
      </c>
      <c r="E12" s="1" t="s">
        <v>58</v>
      </c>
      <c r="F12" s="1" t="s">
        <v>42</v>
      </c>
      <c r="G12" s="1" t="s">
        <v>43</v>
      </c>
      <c r="H12" s="4">
        <v>45973</v>
      </c>
      <c r="I12" s="4">
        <v>46001</v>
      </c>
      <c r="J12" s="1" t="s">
        <v>60</v>
      </c>
      <c r="K12" s="1" t="s">
        <v>31</v>
      </c>
      <c r="L12" s="1" t="s">
        <v>113</v>
      </c>
      <c r="M12" s="1" t="s">
        <v>113</v>
      </c>
      <c r="N12" s="5">
        <v>170500</v>
      </c>
      <c r="O12" s="5">
        <v>341000</v>
      </c>
      <c r="P12" s="1"/>
      <c r="Q12" s="1">
        <v>1</v>
      </c>
      <c r="R12" s="1">
        <v>24</v>
      </c>
      <c r="S12" s="1" t="s">
        <v>104</v>
      </c>
      <c r="T12" s="1" t="s">
        <v>104</v>
      </c>
      <c r="U12" s="1" t="s">
        <v>44</v>
      </c>
      <c r="V12" s="1"/>
      <c r="W12" s="1" t="s">
        <v>147</v>
      </c>
      <c r="X12" s="5">
        <v>341000</v>
      </c>
      <c r="Y12" s="5">
        <v>289000</v>
      </c>
      <c r="Z12" s="1" t="s">
        <v>122</v>
      </c>
      <c r="AA12" s="1" t="s">
        <v>129</v>
      </c>
      <c r="AB12" s="1">
        <v>2</v>
      </c>
      <c r="AC12" s="1">
        <v>7</v>
      </c>
      <c r="AD12" s="1">
        <v>4</v>
      </c>
      <c r="AE12" s="1">
        <v>3</v>
      </c>
      <c r="AF12" s="4">
        <v>45982</v>
      </c>
      <c r="AG12" s="4">
        <v>45989</v>
      </c>
      <c r="AH12" s="4">
        <v>46029</v>
      </c>
      <c r="AI12" s="5">
        <f t="shared" si="0"/>
        <v>52000</v>
      </c>
      <c r="AJ12" s="6">
        <f t="shared" si="1"/>
        <v>0.17993079584775087</v>
      </c>
      <c r="AK12" s="7" t="str">
        <f t="shared" si="2"/>
        <v/>
      </c>
      <c r="AL12" s="1">
        <f t="shared" si="3"/>
        <v>9</v>
      </c>
      <c r="AM12" s="1">
        <f t="shared" si="4"/>
        <v>7</v>
      </c>
      <c r="AN12" s="1" t="s">
        <v>117</v>
      </c>
      <c r="AO12" s="1" t="s">
        <v>118</v>
      </c>
      <c r="AP12" s="1" t="s">
        <v>148</v>
      </c>
    </row>
    <row r="13" spans="1:42" ht="14.5">
      <c r="A13" s="1" t="s">
        <v>149</v>
      </c>
      <c r="B13" s="1" t="s">
        <v>150</v>
      </c>
      <c r="C13" s="1" t="s">
        <v>140</v>
      </c>
      <c r="D13" s="1" t="s">
        <v>46</v>
      </c>
      <c r="E13" s="1" t="s">
        <v>64</v>
      </c>
      <c r="F13" s="1" t="s">
        <v>55</v>
      </c>
      <c r="G13" s="1" t="s">
        <v>51</v>
      </c>
      <c r="H13" s="4">
        <v>45974</v>
      </c>
      <c r="I13" s="4">
        <v>46003</v>
      </c>
      <c r="J13" s="1" t="s">
        <v>63</v>
      </c>
      <c r="K13" s="1" t="s">
        <v>53</v>
      </c>
      <c r="L13" s="1" t="s">
        <v>104</v>
      </c>
      <c r="M13" s="1" t="s">
        <v>104</v>
      </c>
      <c r="N13" s="5">
        <v>145900</v>
      </c>
      <c r="O13" s="5">
        <v>437700</v>
      </c>
      <c r="P13" s="1">
        <v>429241</v>
      </c>
      <c r="Q13" s="1">
        <v>8</v>
      </c>
      <c r="R13" s="1">
        <v>36</v>
      </c>
      <c r="S13" s="1" t="s">
        <v>104</v>
      </c>
      <c r="T13" s="1" t="s">
        <v>104</v>
      </c>
      <c r="U13" s="1" t="s">
        <v>36</v>
      </c>
      <c r="V13" s="1" t="s">
        <v>29</v>
      </c>
      <c r="W13" s="1" t="s">
        <v>105</v>
      </c>
      <c r="X13" s="5"/>
      <c r="Y13" s="5"/>
      <c r="Z13" s="1"/>
      <c r="AA13" s="1" t="s">
        <v>115</v>
      </c>
      <c r="AB13" s="1">
        <v>3</v>
      </c>
      <c r="AC13" s="1">
        <v>5</v>
      </c>
      <c r="AD13" s="1">
        <v>0</v>
      </c>
      <c r="AE13" s="1">
        <v>0</v>
      </c>
      <c r="AF13" s="4">
        <v>45982</v>
      </c>
      <c r="AG13" s="4"/>
      <c r="AH13" s="4"/>
      <c r="AI13" s="5" t="str">
        <f t="shared" si="0"/>
        <v/>
      </c>
      <c r="AJ13" s="6" t="str">
        <f t="shared" si="1"/>
        <v/>
      </c>
      <c r="AK13" s="7">
        <f t="shared" si="2"/>
        <v>0</v>
      </c>
      <c r="AL13" s="1">
        <f t="shared" si="3"/>
        <v>8</v>
      </c>
      <c r="AM13" s="1" t="str">
        <f t="shared" si="4"/>
        <v/>
      </c>
      <c r="AN13" s="1" t="s">
        <v>107</v>
      </c>
      <c r="AO13" s="1" t="s">
        <v>108</v>
      </c>
      <c r="AP13" s="1" t="s">
        <v>148</v>
      </c>
    </row>
    <row r="14" spans="1:42" ht="14.5">
      <c r="A14" s="1" t="s">
        <v>151</v>
      </c>
      <c r="B14" s="1" t="s">
        <v>152</v>
      </c>
      <c r="C14" s="1" t="s">
        <v>144</v>
      </c>
      <c r="D14" s="1" t="s">
        <v>38</v>
      </c>
      <c r="E14" s="1" t="s">
        <v>61</v>
      </c>
      <c r="F14" s="1" t="s">
        <v>34</v>
      </c>
      <c r="G14" s="1" t="s">
        <v>27</v>
      </c>
      <c r="H14" s="4">
        <v>45975</v>
      </c>
      <c r="I14" s="4">
        <v>46005</v>
      </c>
      <c r="J14" s="1" t="s">
        <v>63</v>
      </c>
      <c r="K14" s="1" t="s">
        <v>53</v>
      </c>
      <c r="L14" s="1" t="s">
        <v>104</v>
      </c>
      <c r="M14" s="1" t="s">
        <v>104</v>
      </c>
      <c r="N14" s="5">
        <v>364400</v>
      </c>
      <c r="O14" s="5">
        <v>364400</v>
      </c>
      <c r="P14" s="1">
        <v>467172</v>
      </c>
      <c r="Q14" s="1">
        <v>1</v>
      </c>
      <c r="R14" s="1">
        <v>12</v>
      </c>
      <c r="S14" s="1" t="s">
        <v>104</v>
      </c>
      <c r="T14" s="1" t="s">
        <v>104</v>
      </c>
      <c r="U14" s="1" t="s">
        <v>28</v>
      </c>
      <c r="V14" s="1" t="s">
        <v>29</v>
      </c>
      <c r="W14" s="1" t="s">
        <v>105</v>
      </c>
      <c r="X14" s="5"/>
      <c r="Y14" s="5"/>
      <c r="Z14" s="1"/>
      <c r="AA14" s="1" t="s">
        <v>106</v>
      </c>
      <c r="AB14" s="1">
        <v>1</v>
      </c>
      <c r="AC14" s="1">
        <v>2</v>
      </c>
      <c r="AD14" s="1">
        <v>0</v>
      </c>
      <c r="AE14" s="1">
        <v>0</v>
      </c>
      <c r="AF14" s="4">
        <v>45978</v>
      </c>
      <c r="AG14" s="4"/>
      <c r="AH14" s="4"/>
      <c r="AI14" s="5" t="str">
        <f t="shared" si="0"/>
        <v/>
      </c>
      <c r="AJ14" s="6" t="str">
        <f t="shared" si="1"/>
        <v/>
      </c>
      <c r="AK14" s="7">
        <f t="shared" si="2"/>
        <v>0</v>
      </c>
      <c r="AL14" s="1">
        <f t="shared" si="3"/>
        <v>3</v>
      </c>
      <c r="AM14" s="1" t="str">
        <f t="shared" si="4"/>
        <v/>
      </c>
      <c r="AN14" s="1" t="s">
        <v>107</v>
      </c>
      <c r="AO14" s="1" t="s">
        <v>108</v>
      </c>
      <c r="AP14" s="1" t="s">
        <v>148</v>
      </c>
    </row>
    <row r="15" spans="1:42" ht="14.5">
      <c r="A15" s="1" t="s">
        <v>153</v>
      </c>
      <c r="B15" s="1" t="s">
        <v>154</v>
      </c>
      <c r="C15" s="1" t="s">
        <v>115</v>
      </c>
      <c r="D15" s="1" t="s">
        <v>30</v>
      </c>
      <c r="E15" s="1" t="s">
        <v>41</v>
      </c>
      <c r="F15" s="1" t="s">
        <v>50</v>
      </c>
      <c r="G15" s="1" t="s">
        <v>35</v>
      </c>
      <c r="H15" s="4">
        <v>45976</v>
      </c>
      <c r="I15" s="4">
        <v>46007</v>
      </c>
      <c r="J15" s="1" t="s">
        <v>60</v>
      </c>
      <c r="K15" s="1" t="s">
        <v>31</v>
      </c>
      <c r="L15" s="1" t="s">
        <v>113</v>
      </c>
      <c r="M15" s="1" t="s">
        <v>113</v>
      </c>
      <c r="N15" s="5">
        <v>2626500</v>
      </c>
      <c r="O15" s="5">
        <v>5253000</v>
      </c>
      <c r="P15" s="1">
        <v>505103</v>
      </c>
      <c r="Q15" s="1">
        <v>8</v>
      </c>
      <c r="R15" s="1">
        <v>24</v>
      </c>
      <c r="S15" s="1" t="s">
        <v>113</v>
      </c>
      <c r="T15" s="1" t="s">
        <v>113</v>
      </c>
      <c r="U15" s="1" t="s">
        <v>44</v>
      </c>
      <c r="V15" s="1"/>
      <c r="W15" s="1" t="s">
        <v>147</v>
      </c>
      <c r="X15" s="5">
        <v>5253000</v>
      </c>
      <c r="Y15" s="5">
        <v>4169000</v>
      </c>
      <c r="Z15" s="1" t="s">
        <v>115</v>
      </c>
      <c r="AA15" s="1" t="s">
        <v>116</v>
      </c>
      <c r="AB15" s="1">
        <v>2</v>
      </c>
      <c r="AC15" s="1">
        <v>8</v>
      </c>
      <c r="AD15" s="1">
        <v>3</v>
      </c>
      <c r="AE15" s="1">
        <v>3</v>
      </c>
      <c r="AF15" s="4">
        <v>45986</v>
      </c>
      <c r="AG15" s="4">
        <v>45992</v>
      </c>
      <c r="AH15" s="4">
        <v>46038</v>
      </c>
      <c r="AI15" s="5">
        <f t="shared" si="0"/>
        <v>1084000</v>
      </c>
      <c r="AJ15" s="6">
        <f t="shared" si="1"/>
        <v>0.26001439194051329</v>
      </c>
      <c r="AK15" s="7">
        <f t="shared" si="2"/>
        <v>10.399859038651522</v>
      </c>
      <c r="AL15" s="1">
        <f t="shared" si="3"/>
        <v>10</v>
      </c>
      <c r="AM15" s="1">
        <f t="shared" si="4"/>
        <v>6</v>
      </c>
      <c r="AN15" s="1" t="s">
        <v>117</v>
      </c>
      <c r="AO15" s="1" t="s">
        <v>155</v>
      </c>
      <c r="AP15" s="1" t="s">
        <v>148</v>
      </c>
    </row>
    <row r="16" spans="1:42" ht="14.5">
      <c r="A16" s="1" t="s">
        <v>156</v>
      </c>
      <c r="B16" s="1" t="s">
        <v>157</v>
      </c>
      <c r="C16" s="1" t="s">
        <v>158</v>
      </c>
      <c r="D16" s="1" t="s">
        <v>30</v>
      </c>
      <c r="E16" s="1" t="s">
        <v>54</v>
      </c>
      <c r="F16" s="1" t="s">
        <v>26</v>
      </c>
      <c r="G16" s="1" t="s">
        <v>43</v>
      </c>
      <c r="H16" s="4">
        <v>45977</v>
      </c>
      <c r="I16" s="4">
        <v>46009</v>
      </c>
      <c r="J16" s="1" t="s">
        <v>60</v>
      </c>
      <c r="K16" s="1" t="s">
        <v>31</v>
      </c>
      <c r="L16" s="1" t="s">
        <v>113</v>
      </c>
      <c r="M16" s="1" t="s">
        <v>113</v>
      </c>
      <c r="N16" s="5">
        <v>249800</v>
      </c>
      <c r="O16" s="5">
        <v>749400</v>
      </c>
      <c r="P16" s="1">
        <v>543034</v>
      </c>
      <c r="Q16" s="1">
        <v>1</v>
      </c>
      <c r="R16" s="1">
        <v>36</v>
      </c>
      <c r="S16" s="1" t="s">
        <v>113</v>
      </c>
      <c r="T16" s="1" t="s">
        <v>104</v>
      </c>
      <c r="U16" s="1" t="s">
        <v>28</v>
      </c>
      <c r="V16" s="1"/>
      <c r="W16" s="1" t="s">
        <v>114</v>
      </c>
      <c r="X16" s="5">
        <v>749400</v>
      </c>
      <c r="Y16" s="5">
        <v>657400</v>
      </c>
      <c r="Z16" s="1" t="s">
        <v>106</v>
      </c>
      <c r="AA16" s="1" t="s">
        <v>122</v>
      </c>
      <c r="AB16" s="1">
        <v>3</v>
      </c>
      <c r="AC16" s="1">
        <v>4</v>
      </c>
      <c r="AD16" s="1">
        <v>4</v>
      </c>
      <c r="AE16" s="1">
        <v>4</v>
      </c>
      <c r="AF16" s="4">
        <v>45984</v>
      </c>
      <c r="AG16" s="4">
        <v>45992</v>
      </c>
      <c r="AH16" s="4">
        <v>46041</v>
      </c>
      <c r="AI16" s="5">
        <f t="shared" si="0"/>
        <v>92000</v>
      </c>
      <c r="AJ16" s="6">
        <f t="shared" si="1"/>
        <v>0.13994523881959234</v>
      </c>
      <c r="AK16" s="7">
        <f t="shared" si="2"/>
        <v>1.380024086889587</v>
      </c>
      <c r="AL16" s="1">
        <f t="shared" si="3"/>
        <v>7</v>
      </c>
      <c r="AM16" s="1">
        <f t="shared" si="4"/>
        <v>8</v>
      </c>
      <c r="AN16" s="1" t="s">
        <v>117</v>
      </c>
      <c r="AO16" s="1" t="s">
        <v>118</v>
      </c>
      <c r="AP16" s="1" t="s">
        <v>148</v>
      </c>
    </row>
    <row r="17" spans="1:42" ht="14.5">
      <c r="A17" s="1" t="s">
        <v>159</v>
      </c>
      <c r="B17" s="1" t="s">
        <v>160</v>
      </c>
      <c r="C17" s="1" t="s">
        <v>144</v>
      </c>
      <c r="D17" s="1" t="s">
        <v>38</v>
      </c>
      <c r="E17" s="1" t="s">
        <v>25</v>
      </c>
      <c r="F17" s="1" t="s">
        <v>50</v>
      </c>
      <c r="G17" s="1" t="s">
        <v>51</v>
      </c>
      <c r="H17" s="4">
        <v>46008</v>
      </c>
      <c r="I17" s="4">
        <v>46041</v>
      </c>
      <c r="J17" s="1" t="s">
        <v>60</v>
      </c>
      <c r="K17" s="1" t="s">
        <v>31</v>
      </c>
      <c r="L17" s="1" t="s">
        <v>113</v>
      </c>
      <c r="M17" s="1" t="s">
        <v>113</v>
      </c>
      <c r="N17" s="5">
        <v>1307200</v>
      </c>
      <c r="O17" s="5">
        <v>1307200</v>
      </c>
      <c r="P17" s="1">
        <v>580965</v>
      </c>
      <c r="Q17" s="1">
        <v>8</v>
      </c>
      <c r="R17" s="1">
        <v>12</v>
      </c>
      <c r="S17" s="1" t="s">
        <v>104</v>
      </c>
      <c r="T17" s="1" t="s">
        <v>113</v>
      </c>
      <c r="U17" s="1" t="s">
        <v>44</v>
      </c>
      <c r="V17" s="1"/>
      <c r="W17" s="1" t="s">
        <v>147</v>
      </c>
      <c r="X17" s="5">
        <v>1307200</v>
      </c>
      <c r="Y17" s="5">
        <v>1216000</v>
      </c>
      <c r="Z17" s="1" t="s">
        <v>116</v>
      </c>
      <c r="AA17" s="1" t="s">
        <v>126</v>
      </c>
      <c r="AB17" s="1">
        <v>1</v>
      </c>
      <c r="AC17" s="1">
        <v>5</v>
      </c>
      <c r="AD17" s="1">
        <v>5</v>
      </c>
      <c r="AE17" s="1">
        <v>2</v>
      </c>
      <c r="AF17" s="4">
        <v>46014</v>
      </c>
      <c r="AG17" s="4">
        <v>46021</v>
      </c>
      <c r="AH17" s="4">
        <v>46074</v>
      </c>
      <c r="AI17" s="5">
        <f t="shared" si="0"/>
        <v>91200</v>
      </c>
      <c r="AJ17" s="6">
        <f t="shared" si="1"/>
        <v>7.4999999999999997E-2</v>
      </c>
      <c r="AK17" s="7">
        <f t="shared" si="2"/>
        <v>2.2500494866300036</v>
      </c>
      <c r="AL17" s="1">
        <f t="shared" si="3"/>
        <v>6</v>
      </c>
      <c r="AM17" s="1">
        <f t="shared" si="4"/>
        <v>7</v>
      </c>
      <c r="AN17" s="1" t="s">
        <v>117</v>
      </c>
      <c r="AO17" s="1" t="s">
        <v>118</v>
      </c>
      <c r="AP17" s="1" t="s">
        <v>161</v>
      </c>
    </row>
    <row r="18" spans="1:42" ht="14.5">
      <c r="A18" s="1" t="s">
        <v>162</v>
      </c>
      <c r="B18" s="1" t="s">
        <v>163</v>
      </c>
      <c r="C18" s="1" t="s">
        <v>115</v>
      </c>
      <c r="D18" s="1" t="s">
        <v>30</v>
      </c>
      <c r="E18" s="1" t="s">
        <v>49</v>
      </c>
      <c r="F18" s="1" t="s">
        <v>26</v>
      </c>
      <c r="G18" s="1" t="s">
        <v>27</v>
      </c>
      <c r="H18" s="4">
        <v>46009</v>
      </c>
      <c r="I18" s="4">
        <v>46043</v>
      </c>
      <c r="J18" s="1" t="s">
        <v>63</v>
      </c>
      <c r="K18" s="1" t="s">
        <v>53</v>
      </c>
      <c r="L18" s="1" t="s">
        <v>104</v>
      </c>
      <c r="M18" s="1" t="s">
        <v>104</v>
      </c>
      <c r="N18" s="5">
        <v>18000</v>
      </c>
      <c r="O18" s="5">
        <v>36000</v>
      </c>
      <c r="P18" s="1"/>
      <c r="Q18" s="1">
        <v>1</v>
      </c>
      <c r="R18" s="1">
        <v>24</v>
      </c>
      <c r="S18" s="1" t="s">
        <v>113</v>
      </c>
      <c r="T18" s="1" t="s">
        <v>104</v>
      </c>
      <c r="U18" s="1" t="s">
        <v>28</v>
      </c>
      <c r="V18" s="1" t="s">
        <v>59</v>
      </c>
      <c r="W18" s="1" t="s">
        <v>164</v>
      </c>
      <c r="X18" s="5"/>
      <c r="Y18" s="5"/>
      <c r="Z18" s="1"/>
      <c r="AA18" s="1" t="s">
        <v>129</v>
      </c>
      <c r="AB18" s="1">
        <v>2</v>
      </c>
      <c r="AC18" s="1">
        <v>2</v>
      </c>
      <c r="AD18" s="1">
        <v>0</v>
      </c>
      <c r="AE18" s="1">
        <v>0</v>
      </c>
      <c r="AF18" s="4">
        <v>46013</v>
      </c>
      <c r="AG18" s="4"/>
      <c r="AH18" s="4"/>
      <c r="AI18" s="5" t="str">
        <f t="shared" si="0"/>
        <v/>
      </c>
      <c r="AJ18" s="6" t="str">
        <f t="shared" si="1"/>
        <v/>
      </c>
      <c r="AK18" s="7" t="str">
        <f t="shared" si="2"/>
        <v/>
      </c>
      <c r="AL18" s="1">
        <f t="shared" si="3"/>
        <v>4</v>
      </c>
      <c r="AM18" s="1" t="str">
        <f t="shared" si="4"/>
        <v/>
      </c>
      <c r="AN18" s="1" t="s">
        <v>107</v>
      </c>
      <c r="AO18" s="1" t="s">
        <v>108</v>
      </c>
      <c r="AP18" s="1" t="s">
        <v>161</v>
      </c>
    </row>
    <row r="19" spans="1:42" ht="14.5">
      <c r="A19" s="1" t="s">
        <v>165</v>
      </c>
      <c r="B19" s="1" t="s">
        <v>166</v>
      </c>
      <c r="C19" s="1" t="s">
        <v>158</v>
      </c>
      <c r="D19" s="1" t="s">
        <v>30</v>
      </c>
      <c r="E19" s="1" t="s">
        <v>61</v>
      </c>
      <c r="F19" s="1" t="s">
        <v>42</v>
      </c>
      <c r="G19" s="1" t="s">
        <v>35</v>
      </c>
      <c r="H19" s="4">
        <v>46010</v>
      </c>
      <c r="I19" s="4">
        <v>46045</v>
      </c>
      <c r="J19" s="1" t="s">
        <v>60</v>
      </c>
      <c r="K19" s="1" t="s">
        <v>31</v>
      </c>
      <c r="L19" s="1" t="s">
        <v>113</v>
      </c>
      <c r="M19" s="1" t="s">
        <v>113</v>
      </c>
      <c r="N19" s="5">
        <v>512300</v>
      </c>
      <c r="O19" s="5">
        <v>1536900</v>
      </c>
      <c r="P19" s="1">
        <v>656827</v>
      </c>
      <c r="Q19" s="1">
        <v>8</v>
      </c>
      <c r="R19" s="1">
        <v>36</v>
      </c>
      <c r="S19" s="1" t="s">
        <v>113</v>
      </c>
      <c r="T19" s="1" t="s">
        <v>113</v>
      </c>
      <c r="U19" s="1" t="s">
        <v>28</v>
      </c>
      <c r="V19" s="1"/>
      <c r="W19" s="1" t="s">
        <v>114</v>
      </c>
      <c r="X19" s="5">
        <v>1536900</v>
      </c>
      <c r="Y19" s="5">
        <v>1390900</v>
      </c>
      <c r="Z19" s="1" t="s">
        <v>126</v>
      </c>
      <c r="AA19" s="1" t="s">
        <v>115</v>
      </c>
      <c r="AB19" s="1">
        <v>3</v>
      </c>
      <c r="AC19" s="1">
        <v>3</v>
      </c>
      <c r="AD19" s="1">
        <v>3</v>
      </c>
      <c r="AE19" s="1">
        <v>4</v>
      </c>
      <c r="AF19" s="4">
        <v>46016</v>
      </c>
      <c r="AG19" s="4">
        <v>46023</v>
      </c>
      <c r="AH19" s="4">
        <v>46080</v>
      </c>
      <c r="AI19" s="5">
        <f t="shared" si="0"/>
        <v>146000</v>
      </c>
      <c r="AJ19" s="6">
        <f t="shared" si="1"/>
        <v>0.10496800632683874</v>
      </c>
      <c r="AK19" s="7">
        <f t="shared" si="2"/>
        <v>2.3398855406370322</v>
      </c>
      <c r="AL19" s="1">
        <f t="shared" si="3"/>
        <v>6</v>
      </c>
      <c r="AM19" s="1">
        <f t="shared" si="4"/>
        <v>7</v>
      </c>
      <c r="AN19" s="1" t="s">
        <v>117</v>
      </c>
      <c r="AO19" s="1" t="s">
        <v>118</v>
      </c>
      <c r="AP19" s="1" t="s">
        <v>161</v>
      </c>
    </row>
    <row r="20" spans="1:42" ht="14.5">
      <c r="A20" s="1" t="s">
        <v>167</v>
      </c>
      <c r="B20" s="1" t="s">
        <v>168</v>
      </c>
      <c r="C20" s="1" t="s">
        <v>169</v>
      </c>
      <c r="D20" s="1" t="s">
        <v>30</v>
      </c>
      <c r="E20" s="1" t="s">
        <v>33</v>
      </c>
      <c r="F20" s="1" t="s">
        <v>55</v>
      </c>
      <c r="G20" s="1" t="s">
        <v>43</v>
      </c>
      <c r="H20" s="4">
        <v>45993</v>
      </c>
      <c r="I20" s="4">
        <v>46029</v>
      </c>
      <c r="J20" s="1" t="s">
        <v>63</v>
      </c>
      <c r="K20" s="1" t="s">
        <v>53</v>
      </c>
      <c r="L20" s="1" t="s">
        <v>104</v>
      </c>
      <c r="M20" s="1" t="s">
        <v>104</v>
      </c>
      <c r="N20" s="5">
        <v>1771600</v>
      </c>
      <c r="O20" s="5">
        <v>1771600</v>
      </c>
      <c r="P20" s="1">
        <v>694758</v>
      </c>
      <c r="Q20" s="1">
        <v>1</v>
      </c>
      <c r="R20" s="1">
        <v>12</v>
      </c>
      <c r="S20" s="1" t="s">
        <v>104</v>
      </c>
      <c r="T20" s="1" t="s">
        <v>113</v>
      </c>
      <c r="U20" s="1" t="s">
        <v>44</v>
      </c>
      <c r="V20" s="1" t="s">
        <v>29</v>
      </c>
      <c r="W20" s="1" t="s">
        <v>105</v>
      </c>
      <c r="X20" s="5"/>
      <c r="Y20" s="5"/>
      <c r="Z20" s="1"/>
      <c r="AA20" s="1" t="s">
        <v>106</v>
      </c>
      <c r="AB20" s="1">
        <v>1</v>
      </c>
      <c r="AC20" s="1">
        <v>4</v>
      </c>
      <c r="AD20" s="1">
        <v>0</v>
      </c>
      <c r="AE20" s="1">
        <v>0</v>
      </c>
      <c r="AF20" s="4">
        <v>45998</v>
      </c>
      <c r="AG20" s="4"/>
      <c r="AH20" s="4"/>
      <c r="AI20" s="5" t="str">
        <f t="shared" si="0"/>
        <v/>
      </c>
      <c r="AJ20" s="6" t="str">
        <f t="shared" si="1"/>
        <v/>
      </c>
      <c r="AK20" s="7">
        <f t="shared" si="2"/>
        <v>0</v>
      </c>
      <c r="AL20" s="1">
        <f t="shared" si="3"/>
        <v>5</v>
      </c>
      <c r="AM20" s="1" t="str">
        <f t="shared" si="4"/>
        <v/>
      </c>
      <c r="AN20" s="1" t="s">
        <v>107</v>
      </c>
      <c r="AO20" s="1" t="s">
        <v>108</v>
      </c>
      <c r="AP20" s="1" t="s">
        <v>161</v>
      </c>
    </row>
    <row r="21" spans="1:42" ht="14.5">
      <c r="A21" s="1" t="s">
        <v>170</v>
      </c>
      <c r="B21" s="1" t="s">
        <v>171</v>
      </c>
      <c r="C21" s="1" t="s">
        <v>172</v>
      </c>
      <c r="D21" s="1" t="s">
        <v>38</v>
      </c>
      <c r="E21" s="1" t="s">
        <v>54</v>
      </c>
      <c r="F21" s="1" t="s">
        <v>34</v>
      </c>
      <c r="G21" s="1" t="s">
        <v>51</v>
      </c>
      <c r="H21" s="4">
        <v>45994</v>
      </c>
      <c r="I21" s="4">
        <v>46031</v>
      </c>
      <c r="J21" s="1" t="s">
        <v>60</v>
      </c>
      <c r="K21" s="1" t="s">
        <v>31</v>
      </c>
      <c r="L21" s="1" t="s">
        <v>113</v>
      </c>
      <c r="M21" s="1" t="s">
        <v>113</v>
      </c>
      <c r="N21" s="5">
        <v>337000</v>
      </c>
      <c r="O21" s="5">
        <v>674000</v>
      </c>
      <c r="P21" s="1">
        <v>732689</v>
      </c>
      <c r="Q21" s="1">
        <v>8</v>
      </c>
      <c r="R21" s="1">
        <v>24</v>
      </c>
      <c r="S21" s="1" t="s">
        <v>113</v>
      </c>
      <c r="T21" s="1" t="s">
        <v>104</v>
      </c>
      <c r="U21" s="1" t="s">
        <v>28</v>
      </c>
      <c r="V21" s="1"/>
      <c r="W21" s="1" t="s">
        <v>114</v>
      </c>
      <c r="X21" s="5">
        <v>674000</v>
      </c>
      <c r="Y21" s="5">
        <v>591200</v>
      </c>
      <c r="Z21" s="1" t="s">
        <v>115</v>
      </c>
      <c r="AA21" s="1" t="s">
        <v>116</v>
      </c>
      <c r="AB21" s="1">
        <v>2</v>
      </c>
      <c r="AC21" s="1">
        <v>5</v>
      </c>
      <c r="AD21" s="1">
        <v>5</v>
      </c>
      <c r="AE21" s="1">
        <v>3</v>
      </c>
      <c r="AF21" s="4">
        <v>46001</v>
      </c>
      <c r="AG21" s="4">
        <v>46009</v>
      </c>
      <c r="AH21" s="4">
        <v>46068</v>
      </c>
      <c r="AI21" s="5">
        <f t="shared" si="0"/>
        <v>82800</v>
      </c>
      <c r="AJ21" s="6">
        <f t="shared" si="1"/>
        <v>0.14005412719891747</v>
      </c>
      <c r="AK21" s="7">
        <f t="shared" si="2"/>
        <v>0.91989916594899068</v>
      </c>
      <c r="AL21" s="1">
        <f t="shared" si="3"/>
        <v>7</v>
      </c>
      <c r="AM21" s="1">
        <f t="shared" si="4"/>
        <v>8</v>
      </c>
      <c r="AN21" s="1" t="s">
        <v>117</v>
      </c>
      <c r="AO21" s="1" t="s">
        <v>118</v>
      </c>
      <c r="AP21" s="1" t="s">
        <v>161</v>
      </c>
    </row>
    <row r="22" spans="1:42" ht="14.5">
      <c r="A22" s="1" t="s">
        <v>173</v>
      </c>
      <c r="B22" s="1" t="s">
        <v>174</v>
      </c>
      <c r="C22" s="1" t="s">
        <v>158</v>
      </c>
      <c r="D22" s="1" t="s">
        <v>30</v>
      </c>
      <c r="E22" s="1" t="s">
        <v>58</v>
      </c>
      <c r="F22" s="1" t="s">
        <v>55</v>
      </c>
      <c r="G22" s="1" t="s">
        <v>27</v>
      </c>
      <c r="H22" s="4">
        <v>46026</v>
      </c>
      <c r="I22" s="4">
        <v>46044</v>
      </c>
      <c r="J22" s="1" t="s">
        <v>63</v>
      </c>
      <c r="K22" s="1" t="s">
        <v>53</v>
      </c>
      <c r="L22" s="1" t="s">
        <v>104</v>
      </c>
      <c r="M22" s="1" t="s">
        <v>104</v>
      </c>
      <c r="N22" s="5">
        <v>170500</v>
      </c>
      <c r="O22" s="5">
        <v>511500</v>
      </c>
      <c r="P22" s="1"/>
      <c r="Q22" s="1">
        <v>1</v>
      </c>
      <c r="R22" s="1">
        <v>36</v>
      </c>
      <c r="S22" s="1" t="s">
        <v>113</v>
      </c>
      <c r="T22" s="1" t="s">
        <v>104</v>
      </c>
      <c r="U22" s="1" t="s">
        <v>44</v>
      </c>
      <c r="V22" s="1" t="s">
        <v>29</v>
      </c>
      <c r="W22" s="1" t="s">
        <v>105</v>
      </c>
      <c r="X22" s="5"/>
      <c r="Y22" s="5"/>
      <c r="Z22" s="1"/>
      <c r="AA22" s="1" t="s">
        <v>122</v>
      </c>
      <c r="AB22" s="1">
        <v>3</v>
      </c>
      <c r="AC22" s="1">
        <v>8</v>
      </c>
      <c r="AD22" s="1">
        <v>0</v>
      </c>
      <c r="AE22" s="1">
        <v>0</v>
      </c>
      <c r="AF22" s="4">
        <v>46037</v>
      </c>
      <c r="AG22" s="4"/>
      <c r="AH22" s="4"/>
      <c r="AI22" s="5" t="str">
        <f t="shared" si="0"/>
        <v/>
      </c>
      <c r="AJ22" s="6" t="str">
        <f t="shared" si="1"/>
        <v/>
      </c>
      <c r="AK22" s="7" t="str">
        <f t="shared" si="2"/>
        <v/>
      </c>
      <c r="AL22" s="1">
        <f t="shared" si="3"/>
        <v>11</v>
      </c>
      <c r="AM22" s="1" t="str">
        <f t="shared" si="4"/>
        <v/>
      </c>
      <c r="AN22" s="1" t="s">
        <v>107</v>
      </c>
      <c r="AO22" s="1" t="s">
        <v>108</v>
      </c>
      <c r="AP22" s="1" t="s">
        <v>175</v>
      </c>
    </row>
    <row r="23" spans="1:42" ht="14.5">
      <c r="A23" s="1" t="s">
        <v>176</v>
      </c>
      <c r="B23" s="1" t="s">
        <v>177</v>
      </c>
      <c r="C23" s="1" t="s">
        <v>169</v>
      </c>
      <c r="D23" s="1" t="s">
        <v>30</v>
      </c>
      <c r="E23" s="1" t="s">
        <v>49</v>
      </c>
      <c r="F23" s="1" t="s">
        <v>34</v>
      </c>
      <c r="G23" s="1" t="s">
        <v>35</v>
      </c>
      <c r="H23" s="4">
        <v>46027</v>
      </c>
      <c r="I23" s="4">
        <v>46046</v>
      </c>
      <c r="J23" s="1" t="s">
        <v>60</v>
      </c>
      <c r="K23" s="1" t="s">
        <v>31</v>
      </c>
      <c r="L23" s="1" t="s">
        <v>113</v>
      </c>
      <c r="M23" s="1" t="s">
        <v>113</v>
      </c>
      <c r="N23" s="5">
        <v>18000</v>
      </c>
      <c r="O23" s="5">
        <v>18000</v>
      </c>
      <c r="P23" s="1"/>
      <c r="Q23" s="1">
        <v>8</v>
      </c>
      <c r="R23" s="1">
        <v>12</v>
      </c>
      <c r="S23" s="1" t="s">
        <v>104</v>
      </c>
      <c r="T23" s="1" t="s">
        <v>104</v>
      </c>
      <c r="U23" s="1" t="s">
        <v>28</v>
      </c>
      <c r="V23" s="1"/>
      <c r="W23" s="1" t="s">
        <v>114</v>
      </c>
      <c r="X23" s="5">
        <v>18000</v>
      </c>
      <c r="Y23" s="5">
        <v>16500</v>
      </c>
      <c r="Z23" s="1" t="s">
        <v>116</v>
      </c>
      <c r="AA23" s="1" t="s">
        <v>126</v>
      </c>
      <c r="AB23" s="1">
        <v>1</v>
      </c>
      <c r="AC23" s="1">
        <v>3</v>
      </c>
      <c r="AD23" s="1">
        <v>3</v>
      </c>
      <c r="AE23" s="1">
        <v>2</v>
      </c>
      <c r="AF23" s="4">
        <v>46031</v>
      </c>
      <c r="AG23" s="4">
        <v>46036</v>
      </c>
      <c r="AH23" s="4">
        <v>46085</v>
      </c>
      <c r="AI23" s="5">
        <f t="shared" si="0"/>
        <v>1500</v>
      </c>
      <c r="AJ23" s="6">
        <f t="shared" si="1"/>
        <v>9.0909090909090912E-2</v>
      </c>
      <c r="AK23" s="7" t="str">
        <f t="shared" si="2"/>
        <v/>
      </c>
      <c r="AL23" s="1">
        <f t="shared" si="3"/>
        <v>4</v>
      </c>
      <c r="AM23" s="1">
        <f t="shared" si="4"/>
        <v>5</v>
      </c>
      <c r="AN23" s="1" t="s">
        <v>117</v>
      </c>
      <c r="AO23" s="1" t="s">
        <v>118</v>
      </c>
      <c r="AP23" s="1" t="s">
        <v>175</v>
      </c>
    </row>
    <row r="24" spans="1:42" ht="14.5">
      <c r="A24" s="1" t="s">
        <v>178</v>
      </c>
      <c r="B24" s="1" t="s">
        <v>179</v>
      </c>
      <c r="C24" s="1" t="s">
        <v>172</v>
      </c>
      <c r="D24" s="1" t="s">
        <v>38</v>
      </c>
      <c r="E24" s="1" t="s">
        <v>64</v>
      </c>
      <c r="F24" s="1" t="s">
        <v>50</v>
      </c>
      <c r="G24" s="1" t="s">
        <v>43</v>
      </c>
      <c r="H24" s="4">
        <v>46028</v>
      </c>
      <c r="I24" s="4">
        <v>46048</v>
      </c>
      <c r="J24" s="1" t="s">
        <v>60</v>
      </c>
      <c r="K24" s="1" t="s">
        <v>23</v>
      </c>
      <c r="L24" s="1" t="s">
        <v>113</v>
      </c>
      <c r="M24" s="1" t="s">
        <v>113</v>
      </c>
      <c r="N24" s="5">
        <v>287800</v>
      </c>
      <c r="O24" s="5">
        <v>575600</v>
      </c>
      <c r="P24" s="1">
        <v>846482</v>
      </c>
      <c r="Q24" s="1">
        <v>1</v>
      </c>
      <c r="R24" s="1">
        <v>24</v>
      </c>
      <c r="S24" s="1" t="s">
        <v>113</v>
      </c>
      <c r="T24" s="1" t="s">
        <v>104</v>
      </c>
      <c r="U24" s="1" t="s">
        <v>28</v>
      </c>
      <c r="V24" s="1"/>
      <c r="W24" s="1" t="s">
        <v>114</v>
      </c>
      <c r="X24" s="5">
        <v>575600</v>
      </c>
      <c r="Y24" s="5">
        <v>575600</v>
      </c>
      <c r="Z24" s="1" t="s">
        <v>180</v>
      </c>
      <c r="AA24" s="1" t="s">
        <v>129</v>
      </c>
      <c r="AB24" s="1">
        <v>2</v>
      </c>
      <c r="AC24" s="1">
        <v>4</v>
      </c>
      <c r="AD24" s="1">
        <v>4</v>
      </c>
      <c r="AE24" s="1">
        <v>3</v>
      </c>
      <c r="AF24" s="4">
        <v>46034</v>
      </c>
      <c r="AG24" s="4">
        <v>46041</v>
      </c>
      <c r="AH24" s="4">
        <v>46088</v>
      </c>
      <c r="AI24" s="5">
        <f t="shared" si="0"/>
        <v>0</v>
      </c>
      <c r="AJ24" s="6">
        <f t="shared" si="1"/>
        <v>0</v>
      </c>
      <c r="AK24" s="7">
        <f t="shared" si="2"/>
        <v>0.67999083264617555</v>
      </c>
      <c r="AL24" s="1">
        <f t="shared" si="3"/>
        <v>6</v>
      </c>
      <c r="AM24" s="1">
        <f t="shared" si="4"/>
        <v>7</v>
      </c>
      <c r="AN24" s="1" t="s">
        <v>181</v>
      </c>
      <c r="AO24" s="1" t="s">
        <v>182</v>
      </c>
      <c r="AP24" s="1" t="s">
        <v>175</v>
      </c>
    </row>
    <row r="25" spans="1:42" ht="14.5">
      <c r="A25" s="1" t="s">
        <v>183</v>
      </c>
      <c r="B25" s="1" t="s">
        <v>184</v>
      </c>
      <c r="C25" s="1" t="s">
        <v>185</v>
      </c>
      <c r="D25" s="1" t="s">
        <v>38</v>
      </c>
      <c r="E25" s="1" t="s">
        <v>33</v>
      </c>
      <c r="F25" s="1" t="s">
        <v>26</v>
      </c>
      <c r="G25" s="1" t="s">
        <v>51</v>
      </c>
      <c r="H25" s="4">
        <v>46029</v>
      </c>
      <c r="I25" s="4">
        <v>46050</v>
      </c>
      <c r="J25" s="1" t="s">
        <v>60</v>
      </c>
      <c r="K25" s="1" t="s">
        <v>31</v>
      </c>
      <c r="L25" s="1" t="s">
        <v>113</v>
      </c>
      <c r="M25" s="1" t="s">
        <v>113</v>
      </c>
      <c r="N25" s="5">
        <v>2255300</v>
      </c>
      <c r="O25" s="5">
        <v>6765900</v>
      </c>
      <c r="P25" s="1">
        <v>884413</v>
      </c>
      <c r="Q25" s="1">
        <v>8</v>
      </c>
      <c r="R25" s="1">
        <v>36</v>
      </c>
      <c r="S25" s="1" t="s">
        <v>113</v>
      </c>
      <c r="T25" s="1" t="s">
        <v>113</v>
      </c>
      <c r="U25" s="1" t="s">
        <v>44</v>
      </c>
      <c r="V25" s="1"/>
      <c r="W25" s="1" t="s">
        <v>147</v>
      </c>
      <c r="X25" s="5">
        <v>6765900</v>
      </c>
      <c r="Y25" s="5">
        <v>6041000</v>
      </c>
      <c r="Z25" s="1" t="s">
        <v>126</v>
      </c>
      <c r="AA25" s="1" t="s">
        <v>115</v>
      </c>
      <c r="AB25" s="1">
        <v>3</v>
      </c>
      <c r="AC25" s="1">
        <v>5</v>
      </c>
      <c r="AD25" s="1">
        <v>5</v>
      </c>
      <c r="AE25" s="1">
        <v>4</v>
      </c>
      <c r="AF25" s="4">
        <v>46037</v>
      </c>
      <c r="AG25" s="4">
        <v>46046</v>
      </c>
      <c r="AH25" s="4">
        <v>46091</v>
      </c>
      <c r="AI25" s="5">
        <f t="shared" si="0"/>
        <v>724900</v>
      </c>
      <c r="AJ25" s="6">
        <f t="shared" si="1"/>
        <v>0.11999668928985267</v>
      </c>
      <c r="AK25" s="7">
        <f t="shared" si="2"/>
        <v>7.6501589189665911</v>
      </c>
      <c r="AL25" s="1">
        <f t="shared" si="3"/>
        <v>8</v>
      </c>
      <c r="AM25" s="1">
        <f t="shared" si="4"/>
        <v>9</v>
      </c>
      <c r="AN25" s="1" t="s">
        <v>117</v>
      </c>
      <c r="AO25" s="1" t="s">
        <v>118</v>
      </c>
      <c r="AP25" s="1" t="s">
        <v>175</v>
      </c>
    </row>
    <row r="26" spans="1:42" ht="14.5">
      <c r="A26" s="1" t="s">
        <v>186</v>
      </c>
      <c r="B26" s="1" t="s">
        <v>187</v>
      </c>
      <c r="C26" s="1" t="s">
        <v>188</v>
      </c>
      <c r="D26" s="1" t="s">
        <v>46</v>
      </c>
      <c r="E26" s="1" t="s">
        <v>54</v>
      </c>
      <c r="F26" s="1" t="s">
        <v>42</v>
      </c>
      <c r="G26" s="1" t="s">
        <v>27</v>
      </c>
      <c r="H26" s="4">
        <v>46030</v>
      </c>
      <c r="I26" s="4">
        <v>46052</v>
      </c>
      <c r="J26" s="1" t="s">
        <v>63</v>
      </c>
      <c r="K26" s="1" t="s">
        <v>53</v>
      </c>
      <c r="L26" s="1" t="s">
        <v>104</v>
      </c>
      <c r="M26" s="1" t="s">
        <v>104</v>
      </c>
      <c r="N26" s="5">
        <v>18000</v>
      </c>
      <c r="O26" s="5">
        <v>18000</v>
      </c>
      <c r="P26" s="1">
        <v>32344</v>
      </c>
      <c r="Q26" s="1">
        <v>1</v>
      </c>
      <c r="R26" s="1">
        <v>12</v>
      </c>
      <c r="S26" s="1" t="s">
        <v>104</v>
      </c>
      <c r="T26" s="1" t="s">
        <v>104</v>
      </c>
      <c r="U26" s="1" t="s">
        <v>28</v>
      </c>
      <c r="V26" s="1" t="s">
        <v>29</v>
      </c>
      <c r="W26" s="1" t="s">
        <v>105</v>
      </c>
      <c r="X26" s="5"/>
      <c r="Y26" s="5"/>
      <c r="Z26" s="1"/>
      <c r="AA26" s="1" t="s">
        <v>106</v>
      </c>
      <c r="AB26" s="1">
        <v>1</v>
      </c>
      <c r="AC26" s="1">
        <v>2</v>
      </c>
      <c r="AD26" s="1">
        <v>0</v>
      </c>
      <c r="AE26" s="1">
        <v>0</v>
      </c>
      <c r="AF26" s="4">
        <v>46033</v>
      </c>
      <c r="AG26" s="4"/>
      <c r="AH26" s="4"/>
      <c r="AI26" s="5" t="str">
        <f t="shared" si="0"/>
        <v/>
      </c>
      <c r="AJ26" s="6" t="str">
        <f t="shared" si="1"/>
        <v/>
      </c>
      <c r="AK26" s="7">
        <f t="shared" si="2"/>
        <v>0</v>
      </c>
      <c r="AL26" s="1">
        <f t="shared" si="3"/>
        <v>3</v>
      </c>
      <c r="AM26" s="1" t="str">
        <f t="shared" si="4"/>
        <v/>
      </c>
      <c r="AN26" s="1" t="s">
        <v>107</v>
      </c>
      <c r="AO26" s="1" t="s">
        <v>108</v>
      </c>
      <c r="AP26" s="1" t="s">
        <v>175</v>
      </c>
    </row>
    <row r="27" spans="1:42" ht="14.5">
      <c r="A27" s="1" t="s">
        <v>189</v>
      </c>
      <c r="B27" s="1" t="s">
        <v>190</v>
      </c>
      <c r="C27" s="1" t="s">
        <v>172</v>
      </c>
      <c r="D27" s="1" t="s">
        <v>38</v>
      </c>
      <c r="E27" s="1" t="s">
        <v>25</v>
      </c>
      <c r="F27" s="1" t="s">
        <v>26</v>
      </c>
      <c r="G27" s="1" t="s">
        <v>35</v>
      </c>
      <c r="H27" s="4">
        <v>46062</v>
      </c>
      <c r="I27" s="4">
        <v>46085</v>
      </c>
      <c r="J27" s="1" t="s">
        <v>60</v>
      </c>
      <c r="K27" s="1" t="s">
        <v>23</v>
      </c>
      <c r="L27" s="1" t="s">
        <v>113</v>
      </c>
      <c r="M27" s="1" t="s">
        <v>113</v>
      </c>
      <c r="N27" s="5">
        <v>158100</v>
      </c>
      <c r="O27" s="5">
        <v>316200</v>
      </c>
      <c r="P27" s="1">
        <v>70275</v>
      </c>
      <c r="Q27" s="1">
        <v>8</v>
      </c>
      <c r="R27" s="1">
        <v>24</v>
      </c>
      <c r="S27" s="1" t="s">
        <v>113</v>
      </c>
      <c r="T27" s="1" t="s">
        <v>104</v>
      </c>
      <c r="U27" s="1" t="s">
        <v>28</v>
      </c>
      <c r="V27" s="1"/>
      <c r="W27" s="1" t="s">
        <v>114</v>
      </c>
      <c r="X27" s="5">
        <v>316200</v>
      </c>
      <c r="Y27" s="5">
        <v>316200</v>
      </c>
      <c r="Z27" s="1" t="s">
        <v>180</v>
      </c>
      <c r="AA27" s="1" t="s">
        <v>116</v>
      </c>
      <c r="AB27" s="1">
        <v>2</v>
      </c>
      <c r="AC27" s="1">
        <v>3</v>
      </c>
      <c r="AD27" s="1">
        <v>3</v>
      </c>
      <c r="AE27" s="1">
        <v>3</v>
      </c>
      <c r="AF27" s="4">
        <v>46067</v>
      </c>
      <c r="AG27" s="4">
        <v>46073</v>
      </c>
      <c r="AH27" s="4">
        <v>46128</v>
      </c>
      <c r="AI27" s="5">
        <f t="shared" si="0"/>
        <v>0</v>
      </c>
      <c r="AJ27" s="6">
        <f t="shared" si="1"/>
        <v>0</v>
      </c>
      <c r="AK27" s="7">
        <f t="shared" si="2"/>
        <v>4.4994663820704375</v>
      </c>
      <c r="AL27" s="1">
        <f t="shared" si="3"/>
        <v>5</v>
      </c>
      <c r="AM27" s="1">
        <f t="shared" si="4"/>
        <v>6</v>
      </c>
      <c r="AN27" s="1" t="s">
        <v>181</v>
      </c>
      <c r="AO27" s="1" t="s">
        <v>182</v>
      </c>
      <c r="AP27" s="1" t="s">
        <v>191</v>
      </c>
    </row>
    <row r="28" spans="1:42" ht="14.5">
      <c r="A28" s="1" t="s">
        <v>192</v>
      </c>
      <c r="B28" s="1" t="s">
        <v>193</v>
      </c>
      <c r="C28" s="1" t="s">
        <v>185</v>
      </c>
      <c r="D28" s="1" t="s">
        <v>38</v>
      </c>
      <c r="E28" s="1" t="s">
        <v>41</v>
      </c>
      <c r="F28" s="1" t="s">
        <v>42</v>
      </c>
      <c r="G28" s="1" t="s">
        <v>43</v>
      </c>
      <c r="H28" s="4">
        <v>46063</v>
      </c>
      <c r="I28" s="4">
        <v>46087</v>
      </c>
      <c r="J28" s="1" t="s">
        <v>60</v>
      </c>
      <c r="K28" s="1" t="s">
        <v>31</v>
      </c>
      <c r="L28" s="1" t="s">
        <v>113</v>
      </c>
      <c r="M28" s="1" t="s">
        <v>113</v>
      </c>
      <c r="N28" s="5">
        <v>562700</v>
      </c>
      <c r="O28" s="5">
        <v>1688100</v>
      </c>
      <c r="P28" s="1">
        <v>108206</v>
      </c>
      <c r="Q28" s="1">
        <v>1</v>
      </c>
      <c r="R28" s="1">
        <v>36</v>
      </c>
      <c r="S28" s="1" t="s">
        <v>113</v>
      </c>
      <c r="T28" s="1" t="s">
        <v>113</v>
      </c>
      <c r="U28" s="1" t="s">
        <v>44</v>
      </c>
      <c r="V28" s="1"/>
      <c r="W28" s="1" t="s">
        <v>147</v>
      </c>
      <c r="X28" s="5">
        <v>1688100</v>
      </c>
      <c r="Y28" s="5">
        <v>1339800</v>
      </c>
      <c r="Z28" s="1" t="s">
        <v>106</v>
      </c>
      <c r="AA28" s="1" t="s">
        <v>122</v>
      </c>
      <c r="AB28" s="1">
        <v>3</v>
      </c>
      <c r="AC28" s="1">
        <v>9</v>
      </c>
      <c r="AD28" s="1">
        <v>4</v>
      </c>
      <c r="AE28" s="1">
        <v>4</v>
      </c>
      <c r="AF28" s="4">
        <v>46075</v>
      </c>
      <c r="AG28" s="4">
        <v>46083</v>
      </c>
      <c r="AH28" s="4">
        <v>46131</v>
      </c>
      <c r="AI28" s="5">
        <f t="shared" si="0"/>
        <v>348300</v>
      </c>
      <c r="AJ28" s="6">
        <f t="shared" si="1"/>
        <v>0.25996417375727721</v>
      </c>
      <c r="AK28" s="7">
        <f t="shared" si="2"/>
        <v>15.600798476979095</v>
      </c>
      <c r="AL28" s="1">
        <f t="shared" si="3"/>
        <v>12</v>
      </c>
      <c r="AM28" s="1">
        <f t="shared" si="4"/>
        <v>8</v>
      </c>
      <c r="AN28" s="1" t="s">
        <v>117</v>
      </c>
      <c r="AO28" s="1" t="s">
        <v>155</v>
      </c>
      <c r="AP28" s="1" t="s">
        <v>191</v>
      </c>
    </row>
    <row r="29" spans="1:42" ht="14.5">
      <c r="A29" s="1" t="s">
        <v>194</v>
      </c>
      <c r="B29" s="1" t="s">
        <v>195</v>
      </c>
      <c r="C29" s="1" t="s">
        <v>188</v>
      </c>
      <c r="D29" s="1" t="s">
        <v>46</v>
      </c>
      <c r="E29" s="1" t="s">
        <v>61</v>
      </c>
      <c r="F29" s="1" t="s">
        <v>55</v>
      </c>
      <c r="G29" s="1" t="s">
        <v>51</v>
      </c>
      <c r="H29" s="4">
        <v>46064</v>
      </c>
      <c r="I29" s="4">
        <v>46089</v>
      </c>
      <c r="J29" s="1" t="s">
        <v>63</v>
      </c>
      <c r="K29" s="1" t="s">
        <v>53</v>
      </c>
      <c r="L29" s="1" t="s">
        <v>104</v>
      </c>
      <c r="M29" s="1" t="s">
        <v>104</v>
      </c>
      <c r="N29" s="5">
        <v>114000</v>
      </c>
      <c r="O29" s="5">
        <v>114000</v>
      </c>
      <c r="P29" s="1">
        <v>146137</v>
      </c>
      <c r="Q29" s="1">
        <v>8</v>
      </c>
      <c r="R29" s="1">
        <v>12</v>
      </c>
      <c r="S29" s="1" t="s">
        <v>104</v>
      </c>
      <c r="T29" s="1" t="s">
        <v>104</v>
      </c>
      <c r="U29" s="1" t="s">
        <v>36</v>
      </c>
      <c r="V29" s="1" t="s">
        <v>29</v>
      </c>
      <c r="W29" s="1" t="s">
        <v>105</v>
      </c>
      <c r="X29" s="5"/>
      <c r="Y29" s="5"/>
      <c r="Z29" s="1"/>
      <c r="AA29" s="1" t="s">
        <v>126</v>
      </c>
      <c r="AB29" s="1">
        <v>1</v>
      </c>
      <c r="AC29" s="1">
        <v>5</v>
      </c>
      <c r="AD29" s="1">
        <v>0</v>
      </c>
      <c r="AE29" s="1">
        <v>0</v>
      </c>
      <c r="AF29" s="4">
        <v>46070</v>
      </c>
      <c r="AG29" s="4"/>
      <c r="AH29" s="4"/>
      <c r="AI29" s="5" t="str">
        <f t="shared" si="0"/>
        <v/>
      </c>
      <c r="AJ29" s="6" t="str">
        <f t="shared" si="1"/>
        <v/>
      </c>
      <c r="AK29" s="7">
        <f t="shared" si="2"/>
        <v>0</v>
      </c>
      <c r="AL29" s="1">
        <f t="shared" si="3"/>
        <v>6</v>
      </c>
      <c r="AM29" s="1" t="str">
        <f t="shared" si="4"/>
        <v/>
      </c>
      <c r="AN29" s="1" t="s">
        <v>107</v>
      </c>
      <c r="AO29" s="1" t="s">
        <v>108</v>
      </c>
      <c r="AP29" s="1" t="s">
        <v>191</v>
      </c>
    </row>
    <row r="30" spans="1:42" ht="14.5">
      <c r="A30" s="1" t="s">
        <v>196</v>
      </c>
      <c r="B30" s="1" t="s">
        <v>197</v>
      </c>
      <c r="C30" s="1" t="s">
        <v>198</v>
      </c>
      <c r="D30" s="1" t="s">
        <v>30</v>
      </c>
      <c r="E30" s="1" t="s">
        <v>33</v>
      </c>
      <c r="F30" s="1" t="s">
        <v>34</v>
      </c>
      <c r="G30" s="1" t="s">
        <v>27</v>
      </c>
      <c r="H30" s="4">
        <v>46065</v>
      </c>
      <c r="I30" s="4">
        <v>46091</v>
      </c>
      <c r="J30" s="1" t="s">
        <v>63</v>
      </c>
      <c r="K30" s="1" t="s">
        <v>53</v>
      </c>
      <c r="L30" s="1" t="s">
        <v>104</v>
      </c>
      <c r="M30" s="1" t="s">
        <v>104</v>
      </c>
      <c r="N30" s="5">
        <v>469400</v>
      </c>
      <c r="O30" s="5">
        <v>938800</v>
      </c>
      <c r="P30" s="1">
        <v>184068</v>
      </c>
      <c r="Q30" s="1">
        <v>1</v>
      </c>
      <c r="R30" s="1">
        <v>24</v>
      </c>
      <c r="S30" s="1" t="s">
        <v>113</v>
      </c>
      <c r="T30" s="1" t="s">
        <v>104</v>
      </c>
      <c r="U30" s="1" t="s">
        <v>28</v>
      </c>
      <c r="V30" s="1" t="s">
        <v>59</v>
      </c>
      <c r="W30" s="1" t="s">
        <v>164</v>
      </c>
      <c r="X30" s="5"/>
      <c r="Y30" s="5"/>
      <c r="Z30" s="1"/>
      <c r="AA30" s="1" t="s">
        <v>129</v>
      </c>
      <c r="AB30" s="1">
        <v>2</v>
      </c>
      <c r="AC30" s="1">
        <v>2</v>
      </c>
      <c r="AD30" s="1">
        <v>0</v>
      </c>
      <c r="AE30" s="1">
        <v>0</v>
      </c>
      <c r="AF30" s="4">
        <v>46069</v>
      </c>
      <c r="AG30" s="4"/>
      <c r="AH30" s="4"/>
      <c r="AI30" s="5" t="str">
        <f t="shared" si="0"/>
        <v/>
      </c>
      <c r="AJ30" s="6" t="str">
        <f t="shared" si="1"/>
        <v/>
      </c>
      <c r="AK30" s="7">
        <f t="shared" si="2"/>
        <v>0</v>
      </c>
      <c r="AL30" s="1">
        <f t="shared" si="3"/>
        <v>4</v>
      </c>
      <c r="AM30" s="1" t="str">
        <f t="shared" si="4"/>
        <v/>
      </c>
      <c r="AN30" s="1" t="s">
        <v>107</v>
      </c>
      <c r="AO30" s="1" t="s">
        <v>108</v>
      </c>
      <c r="AP30" s="1" t="s">
        <v>191</v>
      </c>
    </row>
    <row r="31" spans="1:42" ht="14.5">
      <c r="A31" s="1" t="s">
        <v>199</v>
      </c>
      <c r="B31" s="1" t="s">
        <v>200</v>
      </c>
      <c r="C31" s="1" t="s">
        <v>201</v>
      </c>
      <c r="D31" s="1" t="s">
        <v>30</v>
      </c>
      <c r="E31" s="1" t="s">
        <v>54</v>
      </c>
      <c r="F31" s="1" t="s">
        <v>50</v>
      </c>
      <c r="G31" s="1" t="s">
        <v>35</v>
      </c>
      <c r="H31" s="4">
        <v>46066</v>
      </c>
      <c r="I31" s="4">
        <v>46093</v>
      </c>
      <c r="J31" s="1" t="s">
        <v>60</v>
      </c>
      <c r="K31" s="1" t="s">
        <v>31</v>
      </c>
      <c r="L31" s="1" t="s">
        <v>113</v>
      </c>
      <c r="M31" s="1" t="s">
        <v>113</v>
      </c>
      <c r="N31" s="5">
        <v>102100</v>
      </c>
      <c r="O31" s="5">
        <v>306300</v>
      </c>
      <c r="P31" s="1">
        <v>221999</v>
      </c>
      <c r="Q31" s="1">
        <v>8</v>
      </c>
      <c r="R31" s="1">
        <v>36</v>
      </c>
      <c r="S31" s="1" t="s">
        <v>113</v>
      </c>
      <c r="T31" s="1" t="s">
        <v>104</v>
      </c>
      <c r="U31" s="1" t="s">
        <v>28</v>
      </c>
      <c r="V31" s="1"/>
      <c r="W31" s="1" t="s">
        <v>114</v>
      </c>
      <c r="X31" s="5">
        <v>306300</v>
      </c>
      <c r="Y31" s="5">
        <v>268700</v>
      </c>
      <c r="Z31" s="1" t="s">
        <v>126</v>
      </c>
      <c r="AA31" s="1" t="s">
        <v>115</v>
      </c>
      <c r="AB31" s="1">
        <v>3</v>
      </c>
      <c r="AC31" s="1">
        <v>3</v>
      </c>
      <c r="AD31" s="1">
        <v>3</v>
      </c>
      <c r="AE31" s="1">
        <v>4</v>
      </c>
      <c r="AF31" s="4">
        <v>46072</v>
      </c>
      <c r="AG31" s="4">
        <v>46079</v>
      </c>
      <c r="AH31" s="4">
        <v>46140</v>
      </c>
      <c r="AI31" s="5">
        <f t="shared" si="0"/>
        <v>37600</v>
      </c>
      <c r="AJ31" s="6">
        <f t="shared" si="1"/>
        <v>0.13993301079270562</v>
      </c>
      <c r="AK31" s="7">
        <f t="shared" si="2"/>
        <v>1.3797359447565078</v>
      </c>
      <c r="AL31" s="1">
        <f t="shared" si="3"/>
        <v>6</v>
      </c>
      <c r="AM31" s="1">
        <f t="shared" si="4"/>
        <v>7</v>
      </c>
      <c r="AN31" s="1" t="s">
        <v>117</v>
      </c>
      <c r="AO31" s="1" t="s">
        <v>118</v>
      </c>
      <c r="AP31" s="1" t="s">
        <v>191</v>
      </c>
    </row>
    <row r="32" spans="1:42" ht="14.5">
      <c r="A32" s="1" t="s">
        <v>202</v>
      </c>
      <c r="B32" s="1" t="s">
        <v>203</v>
      </c>
      <c r="C32" s="1" t="s">
        <v>188</v>
      </c>
      <c r="D32" s="1" t="s">
        <v>46</v>
      </c>
      <c r="E32" s="1" t="s">
        <v>58</v>
      </c>
      <c r="F32" s="1" t="s">
        <v>34</v>
      </c>
      <c r="G32" s="1" t="s">
        <v>43</v>
      </c>
      <c r="H32" s="4">
        <v>46095</v>
      </c>
      <c r="I32" s="4">
        <v>46123</v>
      </c>
      <c r="J32" s="1" t="s">
        <v>63</v>
      </c>
      <c r="K32" s="1" t="s">
        <v>53</v>
      </c>
      <c r="L32" s="1" t="s">
        <v>104</v>
      </c>
      <c r="M32" s="1" t="s">
        <v>104</v>
      </c>
      <c r="N32" s="5">
        <v>170500</v>
      </c>
      <c r="O32" s="5">
        <v>170500</v>
      </c>
      <c r="P32" s="1"/>
      <c r="Q32" s="1">
        <v>1</v>
      </c>
      <c r="R32" s="1">
        <v>12</v>
      </c>
      <c r="S32" s="1" t="s">
        <v>104</v>
      </c>
      <c r="T32" s="1" t="s">
        <v>104</v>
      </c>
      <c r="U32" s="1" t="s">
        <v>44</v>
      </c>
      <c r="V32" s="1" t="s">
        <v>37</v>
      </c>
      <c r="W32" s="1" t="s">
        <v>204</v>
      </c>
      <c r="X32" s="5"/>
      <c r="Y32" s="5"/>
      <c r="Z32" s="1"/>
      <c r="AA32" s="1" t="s">
        <v>106</v>
      </c>
      <c r="AB32" s="1">
        <v>1</v>
      </c>
      <c r="AC32" s="1">
        <v>6</v>
      </c>
      <c r="AD32" s="1">
        <v>0</v>
      </c>
      <c r="AE32" s="1">
        <v>0</v>
      </c>
      <c r="AF32" s="4">
        <v>46102</v>
      </c>
      <c r="AG32" s="4"/>
      <c r="AH32" s="4"/>
      <c r="AI32" s="5" t="str">
        <f t="shared" si="0"/>
        <v/>
      </c>
      <c r="AJ32" s="6" t="str">
        <f t="shared" si="1"/>
        <v/>
      </c>
      <c r="AK32" s="7" t="str">
        <f t="shared" si="2"/>
        <v/>
      </c>
      <c r="AL32" s="1">
        <f t="shared" si="3"/>
        <v>7</v>
      </c>
      <c r="AM32" s="1" t="str">
        <f t="shared" si="4"/>
        <v/>
      </c>
      <c r="AN32" s="1" t="s">
        <v>107</v>
      </c>
      <c r="AO32" s="1" t="s">
        <v>108</v>
      </c>
      <c r="AP32" s="1" t="s">
        <v>205</v>
      </c>
    </row>
    <row r="33" spans="1:42" ht="14.5">
      <c r="A33" s="1" t="s">
        <v>206</v>
      </c>
      <c r="B33" s="1" t="s">
        <v>207</v>
      </c>
      <c r="C33" s="1" t="s">
        <v>198</v>
      </c>
      <c r="D33" s="1" t="s">
        <v>30</v>
      </c>
      <c r="E33" s="1" t="s">
        <v>49</v>
      </c>
      <c r="F33" s="1" t="s">
        <v>50</v>
      </c>
      <c r="G33" s="1" t="s">
        <v>51</v>
      </c>
      <c r="H33" s="4">
        <v>46096</v>
      </c>
      <c r="I33" s="4">
        <v>46125</v>
      </c>
      <c r="J33" s="1" t="s">
        <v>60</v>
      </c>
      <c r="K33" s="1" t="s">
        <v>31</v>
      </c>
      <c r="L33" s="1" t="s">
        <v>113</v>
      </c>
      <c r="M33" s="1" t="s">
        <v>113</v>
      </c>
      <c r="N33" s="5">
        <v>18000</v>
      </c>
      <c r="O33" s="5">
        <v>36000</v>
      </c>
      <c r="P33" s="1"/>
      <c r="Q33" s="1">
        <v>8</v>
      </c>
      <c r="R33" s="1">
        <v>24</v>
      </c>
      <c r="S33" s="1" t="s">
        <v>113</v>
      </c>
      <c r="T33" s="1" t="s">
        <v>104</v>
      </c>
      <c r="U33" s="1" t="s">
        <v>28</v>
      </c>
      <c r="V33" s="1"/>
      <c r="W33" s="1" t="s">
        <v>114</v>
      </c>
      <c r="X33" s="5">
        <v>36000</v>
      </c>
      <c r="Y33" s="5">
        <v>33000</v>
      </c>
      <c r="Z33" s="1" t="s">
        <v>115</v>
      </c>
      <c r="AA33" s="1" t="s">
        <v>116</v>
      </c>
      <c r="AB33" s="1">
        <v>2</v>
      </c>
      <c r="AC33" s="1">
        <v>5</v>
      </c>
      <c r="AD33" s="1">
        <v>5</v>
      </c>
      <c r="AE33" s="1">
        <v>3</v>
      </c>
      <c r="AF33" s="4">
        <v>46103</v>
      </c>
      <c r="AG33" s="4">
        <v>46111</v>
      </c>
      <c r="AH33" s="4">
        <v>46144</v>
      </c>
      <c r="AI33" s="5">
        <f t="shared" si="0"/>
        <v>3000</v>
      </c>
      <c r="AJ33" s="6">
        <f t="shared" si="1"/>
        <v>9.0909090909090912E-2</v>
      </c>
      <c r="AK33" s="7" t="str">
        <f t="shared" si="2"/>
        <v/>
      </c>
      <c r="AL33" s="1">
        <f t="shared" si="3"/>
        <v>7</v>
      </c>
      <c r="AM33" s="1">
        <f t="shared" si="4"/>
        <v>8</v>
      </c>
      <c r="AN33" s="1" t="s">
        <v>117</v>
      </c>
      <c r="AO33" s="1" t="s">
        <v>118</v>
      </c>
      <c r="AP33" s="1" t="s">
        <v>205</v>
      </c>
    </row>
    <row r="34" spans="1:42" ht="14.5">
      <c r="A34" s="1" t="s">
        <v>208</v>
      </c>
      <c r="B34" s="1" t="s">
        <v>209</v>
      </c>
      <c r="C34" s="1" t="s">
        <v>201</v>
      </c>
      <c r="D34" s="1" t="s">
        <v>30</v>
      </c>
      <c r="E34" s="1" t="s">
        <v>61</v>
      </c>
      <c r="F34" s="1" t="s">
        <v>26</v>
      </c>
      <c r="G34" s="1" t="s">
        <v>27</v>
      </c>
      <c r="H34" s="4">
        <v>46097</v>
      </c>
      <c r="I34" s="4">
        <v>46127</v>
      </c>
      <c r="J34" s="1" t="s">
        <v>63</v>
      </c>
      <c r="K34" s="1" t="s">
        <v>53</v>
      </c>
      <c r="L34" s="1" t="s">
        <v>104</v>
      </c>
      <c r="M34" s="1" t="s">
        <v>104</v>
      </c>
      <c r="N34" s="5">
        <v>261900</v>
      </c>
      <c r="O34" s="5">
        <v>785700</v>
      </c>
      <c r="P34" s="1">
        <v>335792</v>
      </c>
      <c r="Q34" s="1">
        <v>1</v>
      </c>
      <c r="R34" s="1">
        <v>36</v>
      </c>
      <c r="S34" s="1" t="s">
        <v>113</v>
      </c>
      <c r="T34" s="1" t="s">
        <v>104</v>
      </c>
      <c r="U34" s="1" t="s">
        <v>28</v>
      </c>
      <c r="V34" s="1" t="s">
        <v>52</v>
      </c>
      <c r="W34" s="1" t="s">
        <v>210</v>
      </c>
      <c r="X34" s="5"/>
      <c r="Y34" s="5"/>
      <c r="Z34" s="1"/>
      <c r="AA34" s="1" t="s">
        <v>122</v>
      </c>
      <c r="AB34" s="1">
        <v>3</v>
      </c>
      <c r="AC34" s="1">
        <v>2</v>
      </c>
      <c r="AD34" s="1">
        <v>0</v>
      </c>
      <c r="AE34" s="1">
        <v>0</v>
      </c>
      <c r="AF34" s="4">
        <v>46102</v>
      </c>
      <c r="AG34" s="4"/>
      <c r="AH34" s="4"/>
      <c r="AI34" s="5" t="str">
        <f t="shared" ref="AI34:AI61" si="5">IF(OR(X34="",Y34=""),"",X34-Y34)</f>
        <v/>
      </c>
      <c r="AJ34" s="6" t="str">
        <f t="shared" ref="AJ34:AJ61" si="6">IFERROR((X34-Y34)/Y34,"")</f>
        <v/>
      </c>
      <c r="AK34" s="7">
        <f t="shared" ref="AK34:AK61" si="7">IFERROR(X34/P34,"")</f>
        <v>0</v>
      </c>
      <c r="AL34" s="1">
        <f t="shared" ref="AL34:AL61" si="8">IF(AF34="","",AF34-H34)</f>
        <v>5</v>
      </c>
      <c r="AM34" s="1" t="str">
        <f t="shared" ref="AM34:AM61" si="9">IF(AG34="","",AG34-AF34)</f>
        <v/>
      </c>
      <c r="AN34" s="1" t="s">
        <v>107</v>
      </c>
      <c r="AO34" s="1" t="s">
        <v>108</v>
      </c>
      <c r="AP34" s="1" t="s">
        <v>205</v>
      </c>
    </row>
    <row r="35" spans="1:42" ht="14.5">
      <c r="A35" s="1" t="s">
        <v>211</v>
      </c>
      <c r="B35" s="1" t="s">
        <v>212</v>
      </c>
      <c r="C35" s="1" t="s">
        <v>213</v>
      </c>
      <c r="D35" s="1" t="s">
        <v>38</v>
      </c>
      <c r="E35" s="1" t="s">
        <v>64</v>
      </c>
      <c r="F35" s="1" t="s">
        <v>42</v>
      </c>
      <c r="G35" s="1" t="s">
        <v>35</v>
      </c>
      <c r="H35" s="4">
        <v>46098</v>
      </c>
      <c r="I35" s="4">
        <v>46129</v>
      </c>
      <c r="J35" s="1" t="s">
        <v>60</v>
      </c>
      <c r="K35" s="1" t="s">
        <v>23</v>
      </c>
      <c r="L35" s="1" t="s">
        <v>113</v>
      </c>
      <c r="M35" s="1" t="s">
        <v>113</v>
      </c>
      <c r="N35" s="5">
        <v>127100</v>
      </c>
      <c r="O35" s="5">
        <v>127100</v>
      </c>
      <c r="P35" s="1">
        <v>373723</v>
      </c>
      <c r="Q35" s="1">
        <v>8</v>
      </c>
      <c r="R35" s="1">
        <v>12</v>
      </c>
      <c r="S35" s="1" t="s">
        <v>104</v>
      </c>
      <c r="T35" s="1" t="s">
        <v>104</v>
      </c>
      <c r="U35" s="1" t="s">
        <v>28</v>
      </c>
      <c r="V35" s="1"/>
      <c r="W35" s="1" t="s">
        <v>114</v>
      </c>
      <c r="X35" s="5">
        <v>127100</v>
      </c>
      <c r="Y35" s="5">
        <v>127100</v>
      </c>
      <c r="Z35" s="1" t="s">
        <v>180</v>
      </c>
      <c r="AA35" s="1" t="s">
        <v>126</v>
      </c>
      <c r="AB35" s="1">
        <v>1</v>
      </c>
      <c r="AC35" s="1">
        <v>3</v>
      </c>
      <c r="AD35" s="1">
        <v>3</v>
      </c>
      <c r="AE35" s="1">
        <v>2</v>
      </c>
      <c r="AF35" s="4">
        <v>46102</v>
      </c>
      <c r="AG35" s="4">
        <v>46107</v>
      </c>
      <c r="AH35" s="4">
        <v>46150</v>
      </c>
      <c r="AI35" s="5">
        <f t="shared" si="5"/>
        <v>0</v>
      </c>
      <c r="AJ35" s="6">
        <f t="shared" si="6"/>
        <v>0</v>
      </c>
      <c r="AK35" s="7">
        <f t="shared" si="7"/>
        <v>0.34009145811202413</v>
      </c>
      <c r="AL35" s="1">
        <f t="shared" si="8"/>
        <v>4</v>
      </c>
      <c r="AM35" s="1">
        <f t="shared" si="9"/>
        <v>5</v>
      </c>
      <c r="AN35" s="1" t="s">
        <v>181</v>
      </c>
      <c r="AO35" s="1" t="s">
        <v>182</v>
      </c>
      <c r="AP35" s="1" t="s">
        <v>205</v>
      </c>
    </row>
    <row r="36" spans="1:42" ht="14.5">
      <c r="A36" s="1" t="s">
        <v>214</v>
      </c>
      <c r="B36" s="1" t="s">
        <v>215</v>
      </c>
      <c r="C36" s="1" t="s">
        <v>103</v>
      </c>
      <c r="D36" s="1" t="s">
        <v>46</v>
      </c>
      <c r="E36" s="1" t="s">
        <v>54</v>
      </c>
      <c r="F36" s="1" t="s">
        <v>55</v>
      </c>
      <c r="G36" s="1" t="s">
        <v>43</v>
      </c>
      <c r="H36" s="4">
        <v>46099</v>
      </c>
      <c r="I36" s="4">
        <v>46131</v>
      </c>
      <c r="J36" s="1" t="s">
        <v>63</v>
      </c>
      <c r="K36" s="1" t="s">
        <v>53</v>
      </c>
      <c r="L36" s="1" t="s">
        <v>104</v>
      </c>
      <c r="M36" s="1" t="s">
        <v>104</v>
      </c>
      <c r="N36" s="5">
        <v>189400</v>
      </c>
      <c r="O36" s="5">
        <v>378800</v>
      </c>
      <c r="P36" s="1">
        <v>411654</v>
      </c>
      <c r="Q36" s="1">
        <v>1</v>
      </c>
      <c r="R36" s="1">
        <v>24</v>
      </c>
      <c r="S36" s="1" t="s">
        <v>104</v>
      </c>
      <c r="T36" s="1" t="s">
        <v>104</v>
      </c>
      <c r="U36" s="1" t="s">
        <v>36</v>
      </c>
      <c r="V36" s="1" t="s">
        <v>29</v>
      </c>
      <c r="W36" s="1" t="s">
        <v>105</v>
      </c>
      <c r="X36" s="5"/>
      <c r="Y36" s="5"/>
      <c r="Z36" s="1"/>
      <c r="AA36" s="1" t="s">
        <v>129</v>
      </c>
      <c r="AB36" s="1">
        <v>2</v>
      </c>
      <c r="AC36" s="1">
        <v>4</v>
      </c>
      <c r="AD36" s="1">
        <v>0</v>
      </c>
      <c r="AE36" s="1">
        <v>0</v>
      </c>
      <c r="AF36" s="4">
        <v>46105</v>
      </c>
      <c r="AG36" s="4"/>
      <c r="AH36" s="4"/>
      <c r="AI36" s="5" t="str">
        <f t="shared" si="5"/>
        <v/>
      </c>
      <c r="AJ36" s="6" t="str">
        <f t="shared" si="6"/>
        <v/>
      </c>
      <c r="AK36" s="7">
        <f t="shared" si="7"/>
        <v>0</v>
      </c>
      <c r="AL36" s="1">
        <f t="shared" si="8"/>
        <v>6</v>
      </c>
      <c r="AM36" s="1" t="str">
        <f t="shared" si="9"/>
        <v/>
      </c>
      <c r="AN36" s="1" t="s">
        <v>107</v>
      </c>
      <c r="AO36" s="1" t="s">
        <v>108</v>
      </c>
      <c r="AP36" s="1" t="s">
        <v>205</v>
      </c>
    </row>
    <row r="37" spans="1:42" ht="14.5">
      <c r="A37" s="1" t="s">
        <v>216</v>
      </c>
      <c r="B37" s="1" t="s">
        <v>217</v>
      </c>
      <c r="C37" s="1" t="s">
        <v>201</v>
      </c>
      <c r="D37" s="1" t="s">
        <v>30</v>
      </c>
      <c r="E37" s="1" t="s">
        <v>25</v>
      </c>
      <c r="F37" s="1" t="s">
        <v>42</v>
      </c>
      <c r="G37" s="1" t="s">
        <v>51</v>
      </c>
      <c r="H37" s="4">
        <v>46131</v>
      </c>
      <c r="I37" s="4">
        <v>46164</v>
      </c>
      <c r="J37" s="1" t="s">
        <v>60</v>
      </c>
      <c r="K37" s="1" t="s">
        <v>31</v>
      </c>
      <c r="L37" s="1" t="s">
        <v>113</v>
      </c>
      <c r="M37" s="1" t="s">
        <v>113</v>
      </c>
      <c r="N37" s="5">
        <v>1011600</v>
      </c>
      <c r="O37" s="5">
        <v>3034800</v>
      </c>
      <c r="P37" s="1">
        <v>449585</v>
      </c>
      <c r="Q37" s="1">
        <v>8</v>
      </c>
      <c r="R37" s="1">
        <v>36</v>
      </c>
      <c r="S37" s="1" t="s">
        <v>113</v>
      </c>
      <c r="T37" s="1" t="s">
        <v>113</v>
      </c>
      <c r="U37" s="1" t="s">
        <v>28</v>
      </c>
      <c r="V37" s="1"/>
      <c r="W37" s="1" t="s">
        <v>114</v>
      </c>
      <c r="X37" s="5">
        <v>3034800</v>
      </c>
      <c r="Y37" s="5">
        <v>2823100</v>
      </c>
      <c r="Z37" s="1" t="s">
        <v>126</v>
      </c>
      <c r="AA37" s="1" t="s">
        <v>115</v>
      </c>
      <c r="AB37" s="1">
        <v>3</v>
      </c>
      <c r="AC37" s="1">
        <v>5</v>
      </c>
      <c r="AD37" s="1">
        <v>5</v>
      </c>
      <c r="AE37" s="1">
        <v>4</v>
      </c>
      <c r="AF37" s="4">
        <v>46139</v>
      </c>
      <c r="AG37" s="4">
        <v>46148</v>
      </c>
      <c r="AH37" s="4">
        <v>46187</v>
      </c>
      <c r="AI37" s="5">
        <f t="shared" si="5"/>
        <v>211700</v>
      </c>
      <c r="AJ37" s="6">
        <f t="shared" si="6"/>
        <v>7.4988487832524528E-2</v>
      </c>
      <c r="AK37" s="7">
        <f t="shared" si="7"/>
        <v>6.7502252076915381</v>
      </c>
      <c r="AL37" s="1">
        <f t="shared" si="8"/>
        <v>8</v>
      </c>
      <c r="AM37" s="1">
        <f t="shared" si="9"/>
        <v>9</v>
      </c>
      <c r="AN37" s="1" t="s">
        <v>117</v>
      </c>
      <c r="AO37" s="1" t="s">
        <v>118</v>
      </c>
      <c r="AP37" s="1" t="s">
        <v>218</v>
      </c>
    </row>
    <row r="38" spans="1:42" ht="14.5">
      <c r="A38" s="1" t="s">
        <v>219</v>
      </c>
      <c r="B38" s="1" t="s">
        <v>220</v>
      </c>
      <c r="C38" s="1" t="s">
        <v>213</v>
      </c>
      <c r="D38" s="1" t="s">
        <v>38</v>
      </c>
      <c r="E38" s="1" t="s">
        <v>49</v>
      </c>
      <c r="F38" s="1" t="s">
        <v>55</v>
      </c>
      <c r="G38" s="1" t="s">
        <v>27</v>
      </c>
      <c r="H38" s="4">
        <v>46114</v>
      </c>
      <c r="I38" s="4">
        <v>46148</v>
      </c>
      <c r="J38" s="1" t="s">
        <v>63</v>
      </c>
      <c r="K38" s="1" t="s">
        <v>53</v>
      </c>
      <c r="L38" s="1" t="s">
        <v>104</v>
      </c>
      <c r="M38" s="1" t="s">
        <v>104</v>
      </c>
      <c r="N38" s="5">
        <v>18000</v>
      </c>
      <c r="O38" s="5">
        <v>18000</v>
      </c>
      <c r="P38" s="1"/>
      <c r="Q38" s="1">
        <v>1</v>
      </c>
      <c r="R38" s="1">
        <v>12</v>
      </c>
      <c r="S38" s="1" t="s">
        <v>104</v>
      </c>
      <c r="T38" s="1" t="s">
        <v>104</v>
      </c>
      <c r="U38" s="1" t="s">
        <v>36</v>
      </c>
      <c r="V38" s="1" t="s">
        <v>29</v>
      </c>
      <c r="W38" s="1" t="s">
        <v>105</v>
      </c>
      <c r="X38" s="5"/>
      <c r="Y38" s="5"/>
      <c r="Z38" s="1"/>
      <c r="AA38" s="1" t="s">
        <v>106</v>
      </c>
      <c r="AB38" s="1">
        <v>1</v>
      </c>
      <c r="AC38" s="1">
        <v>2</v>
      </c>
      <c r="AD38" s="1">
        <v>0</v>
      </c>
      <c r="AE38" s="1">
        <v>0</v>
      </c>
      <c r="AF38" s="4">
        <v>46117</v>
      </c>
      <c r="AG38" s="4"/>
      <c r="AH38" s="4"/>
      <c r="AI38" s="5" t="str">
        <f t="shared" si="5"/>
        <v/>
      </c>
      <c r="AJ38" s="6" t="str">
        <f t="shared" si="6"/>
        <v/>
      </c>
      <c r="AK38" s="7" t="str">
        <f t="shared" si="7"/>
        <v/>
      </c>
      <c r="AL38" s="1">
        <f t="shared" si="8"/>
        <v>3</v>
      </c>
      <c r="AM38" s="1" t="str">
        <f t="shared" si="9"/>
        <v/>
      </c>
      <c r="AN38" s="1" t="s">
        <v>107</v>
      </c>
      <c r="AO38" s="1" t="s">
        <v>108</v>
      </c>
      <c r="AP38" s="1" t="s">
        <v>218</v>
      </c>
    </row>
    <row r="39" spans="1:42" ht="14.5">
      <c r="A39" s="1" t="s">
        <v>221</v>
      </c>
      <c r="B39" s="1" t="s">
        <v>222</v>
      </c>
      <c r="C39" s="1" t="s">
        <v>103</v>
      </c>
      <c r="D39" s="1" t="s">
        <v>46</v>
      </c>
      <c r="E39" s="1" t="s">
        <v>61</v>
      </c>
      <c r="F39" s="1" t="s">
        <v>34</v>
      </c>
      <c r="G39" s="1" t="s">
        <v>35</v>
      </c>
      <c r="H39" s="4">
        <v>46115</v>
      </c>
      <c r="I39" s="4">
        <v>46150</v>
      </c>
      <c r="J39" s="1" t="s">
        <v>60</v>
      </c>
      <c r="K39" s="1" t="s">
        <v>31</v>
      </c>
      <c r="L39" s="1" t="s">
        <v>113</v>
      </c>
      <c r="M39" s="1" t="s">
        <v>113</v>
      </c>
      <c r="N39" s="5">
        <v>409800</v>
      </c>
      <c r="O39" s="5">
        <v>819600</v>
      </c>
      <c r="P39" s="1">
        <v>525447</v>
      </c>
      <c r="Q39" s="1">
        <v>8</v>
      </c>
      <c r="R39" s="1">
        <v>24</v>
      </c>
      <c r="S39" s="1" t="s">
        <v>104</v>
      </c>
      <c r="T39" s="1" t="s">
        <v>104</v>
      </c>
      <c r="U39" s="1" t="s">
        <v>28</v>
      </c>
      <c r="V39" s="1"/>
      <c r="W39" s="1" t="s">
        <v>114</v>
      </c>
      <c r="X39" s="5">
        <v>819600</v>
      </c>
      <c r="Y39" s="5">
        <v>741700</v>
      </c>
      <c r="Z39" s="1" t="s">
        <v>115</v>
      </c>
      <c r="AA39" s="1" t="s">
        <v>116</v>
      </c>
      <c r="AB39" s="1">
        <v>2</v>
      </c>
      <c r="AC39" s="1">
        <v>3</v>
      </c>
      <c r="AD39" s="1">
        <v>3</v>
      </c>
      <c r="AE39" s="1">
        <v>3</v>
      </c>
      <c r="AF39" s="4">
        <v>46120</v>
      </c>
      <c r="AG39" s="4">
        <v>46126</v>
      </c>
      <c r="AH39" s="4">
        <v>46175</v>
      </c>
      <c r="AI39" s="5">
        <f t="shared" si="5"/>
        <v>77900</v>
      </c>
      <c r="AJ39" s="6">
        <f t="shared" si="6"/>
        <v>0.10502898746123769</v>
      </c>
      <c r="AK39" s="7">
        <f t="shared" si="7"/>
        <v>1.5598147862676921</v>
      </c>
      <c r="AL39" s="1">
        <f t="shared" si="8"/>
        <v>5</v>
      </c>
      <c r="AM39" s="1">
        <f t="shared" si="9"/>
        <v>6</v>
      </c>
      <c r="AN39" s="1" t="s">
        <v>117</v>
      </c>
      <c r="AO39" s="1" t="s">
        <v>118</v>
      </c>
      <c r="AP39" s="1" t="s">
        <v>218</v>
      </c>
    </row>
    <row r="40" spans="1:42" ht="14.5">
      <c r="A40" s="1" t="s">
        <v>223</v>
      </c>
      <c r="B40" s="1" t="s">
        <v>224</v>
      </c>
      <c r="C40" s="1" t="s">
        <v>112</v>
      </c>
      <c r="D40" s="1" t="s">
        <v>38</v>
      </c>
      <c r="E40" s="1" t="s">
        <v>33</v>
      </c>
      <c r="F40" s="1" t="s">
        <v>50</v>
      </c>
      <c r="G40" s="1" t="s">
        <v>43</v>
      </c>
      <c r="H40" s="4">
        <v>46116</v>
      </c>
      <c r="I40" s="4">
        <v>46152</v>
      </c>
      <c r="J40" s="1" t="s">
        <v>60</v>
      </c>
      <c r="K40" s="1" t="s">
        <v>31</v>
      </c>
      <c r="L40" s="1" t="s">
        <v>113</v>
      </c>
      <c r="M40" s="1" t="s">
        <v>113</v>
      </c>
      <c r="N40" s="5">
        <v>1436600</v>
      </c>
      <c r="O40" s="5">
        <v>4309800</v>
      </c>
      <c r="P40" s="1">
        <v>563378</v>
      </c>
      <c r="Q40" s="1">
        <v>1</v>
      </c>
      <c r="R40" s="1">
        <v>36</v>
      </c>
      <c r="S40" s="1" t="s">
        <v>113</v>
      </c>
      <c r="T40" s="1" t="s">
        <v>113</v>
      </c>
      <c r="U40" s="1" t="s">
        <v>44</v>
      </c>
      <c r="V40" s="1"/>
      <c r="W40" s="1" t="s">
        <v>147</v>
      </c>
      <c r="X40" s="5">
        <v>4309800</v>
      </c>
      <c r="Y40" s="5">
        <v>3848000</v>
      </c>
      <c r="Z40" s="1" t="s">
        <v>106</v>
      </c>
      <c r="AA40" s="1" t="s">
        <v>122</v>
      </c>
      <c r="AB40" s="1">
        <v>3</v>
      </c>
      <c r="AC40" s="1">
        <v>4</v>
      </c>
      <c r="AD40" s="1">
        <v>4</v>
      </c>
      <c r="AE40" s="1">
        <v>4</v>
      </c>
      <c r="AF40" s="4">
        <v>46123</v>
      </c>
      <c r="AG40" s="4">
        <v>46131</v>
      </c>
      <c r="AH40" s="4">
        <v>46178</v>
      </c>
      <c r="AI40" s="5">
        <f t="shared" si="5"/>
        <v>461800</v>
      </c>
      <c r="AJ40" s="6">
        <f t="shared" si="6"/>
        <v>0.12001039501039501</v>
      </c>
      <c r="AK40" s="7">
        <f t="shared" si="7"/>
        <v>7.6499259822002283</v>
      </c>
      <c r="AL40" s="1">
        <f t="shared" si="8"/>
        <v>7</v>
      </c>
      <c r="AM40" s="1">
        <f t="shared" si="9"/>
        <v>8</v>
      </c>
      <c r="AN40" s="1" t="s">
        <v>117</v>
      </c>
      <c r="AO40" s="1" t="s">
        <v>118</v>
      </c>
      <c r="AP40" s="1" t="s">
        <v>218</v>
      </c>
    </row>
    <row r="41" spans="1:42" ht="14.5">
      <c r="A41" s="1" t="s">
        <v>225</v>
      </c>
      <c r="B41" s="1" t="s">
        <v>226</v>
      </c>
      <c r="C41" s="1" t="s">
        <v>121</v>
      </c>
      <c r="D41" s="1" t="s">
        <v>30</v>
      </c>
      <c r="E41" s="1" t="s">
        <v>41</v>
      </c>
      <c r="F41" s="1" t="s">
        <v>26</v>
      </c>
      <c r="G41" s="1" t="s">
        <v>51</v>
      </c>
      <c r="H41" s="4">
        <v>46117</v>
      </c>
      <c r="I41" s="4">
        <v>46154</v>
      </c>
      <c r="J41" s="1" t="s">
        <v>60</v>
      </c>
      <c r="K41" s="1" t="s">
        <v>31</v>
      </c>
      <c r="L41" s="1" t="s">
        <v>113</v>
      </c>
      <c r="M41" s="1" t="s">
        <v>113</v>
      </c>
      <c r="N41" s="5">
        <v>3126800</v>
      </c>
      <c r="O41" s="5">
        <v>3126800</v>
      </c>
      <c r="P41" s="1">
        <v>601309</v>
      </c>
      <c r="Q41" s="1">
        <v>8</v>
      </c>
      <c r="R41" s="1">
        <v>12</v>
      </c>
      <c r="S41" s="1" t="s">
        <v>104</v>
      </c>
      <c r="T41" s="1" t="s">
        <v>113</v>
      </c>
      <c r="U41" s="1" t="s">
        <v>44</v>
      </c>
      <c r="V41" s="1"/>
      <c r="W41" s="1" t="s">
        <v>147</v>
      </c>
      <c r="X41" s="5">
        <v>3126800</v>
      </c>
      <c r="Y41" s="5">
        <v>2481600</v>
      </c>
      <c r="Z41" s="1" t="s">
        <v>116</v>
      </c>
      <c r="AA41" s="1" t="s">
        <v>126</v>
      </c>
      <c r="AB41" s="1">
        <v>1</v>
      </c>
      <c r="AC41" s="1">
        <v>10</v>
      </c>
      <c r="AD41" s="1">
        <v>5</v>
      </c>
      <c r="AE41" s="1">
        <v>2</v>
      </c>
      <c r="AF41" s="4">
        <v>46128</v>
      </c>
      <c r="AG41" s="4">
        <v>46135</v>
      </c>
      <c r="AH41" s="4">
        <v>46181</v>
      </c>
      <c r="AI41" s="5">
        <f t="shared" si="5"/>
        <v>645200</v>
      </c>
      <c r="AJ41" s="6">
        <f t="shared" si="6"/>
        <v>0.25999355254674406</v>
      </c>
      <c r="AK41" s="7">
        <f t="shared" si="7"/>
        <v>5.1999886913383966</v>
      </c>
      <c r="AL41" s="1">
        <f t="shared" si="8"/>
        <v>11</v>
      </c>
      <c r="AM41" s="1">
        <f t="shared" si="9"/>
        <v>7</v>
      </c>
      <c r="AN41" s="1" t="s">
        <v>117</v>
      </c>
      <c r="AO41" s="1" t="s">
        <v>155</v>
      </c>
      <c r="AP41" s="1" t="s">
        <v>218</v>
      </c>
    </row>
    <row r="42" spans="1:42" ht="14.5">
      <c r="A42" s="1" t="s">
        <v>227</v>
      </c>
      <c r="B42" s="1" t="s">
        <v>228</v>
      </c>
      <c r="C42" s="1" t="s">
        <v>103</v>
      </c>
      <c r="D42" s="1" t="s">
        <v>46</v>
      </c>
      <c r="E42" s="1" t="s">
        <v>58</v>
      </c>
      <c r="F42" s="1" t="s">
        <v>50</v>
      </c>
      <c r="G42" s="1" t="s">
        <v>27</v>
      </c>
      <c r="H42" s="4">
        <v>46148</v>
      </c>
      <c r="I42" s="4">
        <v>46166</v>
      </c>
      <c r="J42" s="1" t="s">
        <v>63</v>
      </c>
      <c r="K42" s="1" t="s">
        <v>53</v>
      </c>
      <c r="L42" s="1" t="s">
        <v>104</v>
      </c>
      <c r="M42" s="1" t="s">
        <v>104</v>
      </c>
      <c r="N42" s="5">
        <v>170500</v>
      </c>
      <c r="O42" s="5">
        <v>341000</v>
      </c>
      <c r="P42" s="1"/>
      <c r="Q42" s="1">
        <v>1</v>
      </c>
      <c r="R42" s="1">
        <v>24</v>
      </c>
      <c r="S42" s="1" t="s">
        <v>104</v>
      </c>
      <c r="T42" s="1" t="s">
        <v>104</v>
      </c>
      <c r="U42" s="1" t="s">
        <v>44</v>
      </c>
      <c r="V42" s="1" t="s">
        <v>37</v>
      </c>
      <c r="W42" s="1" t="s">
        <v>204</v>
      </c>
      <c r="X42" s="5"/>
      <c r="Y42" s="5"/>
      <c r="Z42" s="1"/>
      <c r="AA42" s="1" t="s">
        <v>129</v>
      </c>
      <c r="AB42" s="1">
        <v>2</v>
      </c>
      <c r="AC42" s="1">
        <v>7</v>
      </c>
      <c r="AD42" s="1">
        <v>0</v>
      </c>
      <c r="AE42" s="1">
        <v>0</v>
      </c>
      <c r="AF42" s="4">
        <v>46157</v>
      </c>
      <c r="AG42" s="4"/>
      <c r="AH42" s="4"/>
      <c r="AI42" s="5" t="str">
        <f t="shared" si="5"/>
        <v/>
      </c>
      <c r="AJ42" s="6" t="str">
        <f t="shared" si="6"/>
        <v/>
      </c>
      <c r="AK42" s="7" t="str">
        <f t="shared" si="7"/>
        <v/>
      </c>
      <c r="AL42" s="1">
        <f t="shared" si="8"/>
        <v>9</v>
      </c>
      <c r="AM42" s="1" t="str">
        <f t="shared" si="9"/>
        <v/>
      </c>
      <c r="AN42" s="1" t="s">
        <v>107</v>
      </c>
      <c r="AO42" s="1" t="s">
        <v>108</v>
      </c>
      <c r="AP42" s="1" t="s">
        <v>229</v>
      </c>
    </row>
    <row r="43" spans="1:42" ht="14.5">
      <c r="A43" s="1" t="s">
        <v>230</v>
      </c>
      <c r="B43" s="1" t="s">
        <v>111</v>
      </c>
      <c r="C43" s="1" t="s">
        <v>112</v>
      </c>
      <c r="D43" s="1" t="s">
        <v>38</v>
      </c>
      <c r="E43" s="1" t="s">
        <v>49</v>
      </c>
      <c r="F43" s="1" t="s">
        <v>26</v>
      </c>
      <c r="G43" s="1" t="s">
        <v>35</v>
      </c>
      <c r="H43" s="4">
        <v>46149</v>
      </c>
      <c r="I43" s="4">
        <v>46168</v>
      </c>
      <c r="J43" s="1" t="s">
        <v>60</v>
      </c>
      <c r="K43" s="1" t="s">
        <v>31</v>
      </c>
      <c r="L43" s="1" t="s">
        <v>113</v>
      </c>
      <c r="M43" s="1" t="s">
        <v>113</v>
      </c>
      <c r="N43" s="5">
        <v>18000</v>
      </c>
      <c r="O43" s="5">
        <v>54000</v>
      </c>
      <c r="P43" s="1"/>
      <c r="Q43" s="1">
        <v>8</v>
      </c>
      <c r="R43" s="1">
        <v>36</v>
      </c>
      <c r="S43" s="1" t="s">
        <v>113</v>
      </c>
      <c r="T43" s="1" t="s">
        <v>104</v>
      </c>
      <c r="U43" s="1" t="s">
        <v>28</v>
      </c>
      <c r="V43" s="1"/>
      <c r="W43" s="1" t="s">
        <v>114</v>
      </c>
      <c r="X43" s="5">
        <v>54000</v>
      </c>
      <c r="Y43" s="5">
        <v>49500</v>
      </c>
      <c r="Z43" s="1" t="s">
        <v>126</v>
      </c>
      <c r="AA43" s="1" t="s">
        <v>115</v>
      </c>
      <c r="AB43" s="1">
        <v>3</v>
      </c>
      <c r="AC43" s="1">
        <v>3</v>
      </c>
      <c r="AD43" s="1">
        <v>3</v>
      </c>
      <c r="AE43" s="1">
        <v>4</v>
      </c>
      <c r="AF43" s="4">
        <v>46155</v>
      </c>
      <c r="AG43" s="4">
        <v>46162</v>
      </c>
      <c r="AH43" s="4">
        <v>46197</v>
      </c>
      <c r="AI43" s="5">
        <f t="shared" si="5"/>
        <v>4500</v>
      </c>
      <c r="AJ43" s="6">
        <f t="shared" si="6"/>
        <v>9.0909090909090912E-2</v>
      </c>
      <c r="AK43" s="7" t="str">
        <f t="shared" si="7"/>
        <v/>
      </c>
      <c r="AL43" s="1">
        <f t="shared" si="8"/>
        <v>6</v>
      </c>
      <c r="AM43" s="1">
        <f t="shared" si="9"/>
        <v>7</v>
      </c>
      <c r="AN43" s="1" t="s">
        <v>117</v>
      </c>
      <c r="AO43" s="1" t="s">
        <v>118</v>
      </c>
      <c r="AP43" s="1" t="s">
        <v>229</v>
      </c>
    </row>
    <row r="44" spans="1:42" ht="14.5">
      <c r="A44" s="1" t="s">
        <v>231</v>
      </c>
      <c r="B44" s="1" t="s">
        <v>120</v>
      </c>
      <c r="C44" s="1" t="s">
        <v>121</v>
      </c>
      <c r="D44" s="1" t="s">
        <v>30</v>
      </c>
      <c r="E44" s="1" t="s">
        <v>61</v>
      </c>
      <c r="F44" s="1" t="s">
        <v>42</v>
      </c>
      <c r="G44" s="1" t="s">
        <v>43</v>
      </c>
      <c r="H44" s="4">
        <v>46150</v>
      </c>
      <c r="I44" s="4">
        <v>46170</v>
      </c>
      <c r="J44" s="1" t="s">
        <v>60</v>
      </c>
      <c r="K44" s="1" t="s">
        <v>31</v>
      </c>
      <c r="L44" s="1" t="s">
        <v>113</v>
      </c>
      <c r="M44" s="1" t="s">
        <v>113</v>
      </c>
      <c r="N44" s="5">
        <v>557800</v>
      </c>
      <c r="O44" s="5">
        <v>557800</v>
      </c>
      <c r="P44" s="1">
        <v>715102</v>
      </c>
      <c r="Q44" s="1">
        <v>1</v>
      </c>
      <c r="R44" s="1">
        <v>12</v>
      </c>
      <c r="S44" s="1" t="s">
        <v>104</v>
      </c>
      <c r="T44" s="1" t="s">
        <v>104</v>
      </c>
      <c r="U44" s="1" t="s">
        <v>28</v>
      </c>
      <c r="V44" s="1"/>
      <c r="W44" s="1" t="s">
        <v>114</v>
      </c>
      <c r="X44" s="5">
        <v>557800</v>
      </c>
      <c r="Y44" s="5">
        <v>504800</v>
      </c>
      <c r="Z44" s="1" t="s">
        <v>129</v>
      </c>
      <c r="AA44" s="1" t="s">
        <v>106</v>
      </c>
      <c r="AB44" s="1">
        <v>1</v>
      </c>
      <c r="AC44" s="1">
        <v>4</v>
      </c>
      <c r="AD44" s="1">
        <v>4</v>
      </c>
      <c r="AE44" s="1">
        <v>2</v>
      </c>
      <c r="AF44" s="4">
        <v>46155</v>
      </c>
      <c r="AG44" s="4">
        <v>46161</v>
      </c>
      <c r="AH44" s="4">
        <v>46200</v>
      </c>
      <c r="AI44" s="5">
        <f t="shared" si="5"/>
        <v>53000</v>
      </c>
      <c r="AJ44" s="6">
        <f t="shared" si="6"/>
        <v>0.10499207606973059</v>
      </c>
      <c r="AK44" s="7">
        <f t="shared" si="7"/>
        <v>0.78002858333496483</v>
      </c>
      <c r="AL44" s="1">
        <f t="shared" si="8"/>
        <v>5</v>
      </c>
      <c r="AM44" s="1">
        <f t="shared" si="9"/>
        <v>6</v>
      </c>
      <c r="AN44" s="1" t="s">
        <v>117</v>
      </c>
      <c r="AO44" s="1" t="s">
        <v>118</v>
      </c>
      <c r="AP44" s="1" t="s">
        <v>229</v>
      </c>
    </row>
    <row r="45" spans="1:42" ht="14.5">
      <c r="A45" s="1" t="s">
        <v>232</v>
      </c>
      <c r="B45" s="1" t="s">
        <v>124</v>
      </c>
      <c r="C45" s="1" t="s">
        <v>125</v>
      </c>
      <c r="D45" s="1" t="s">
        <v>46</v>
      </c>
      <c r="E45" s="1" t="s">
        <v>33</v>
      </c>
      <c r="F45" s="1" t="s">
        <v>55</v>
      </c>
      <c r="G45" s="1" t="s">
        <v>51</v>
      </c>
      <c r="H45" s="4">
        <v>46151</v>
      </c>
      <c r="I45" s="4">
        <v>46172</v>
      </c>
      <c r="J45" s="1" t="s">
        <v>63</v>
      </c>
      <c r="K45" s="1" t="s">
        <v>53</v>
      </c>
      <c r="L45" s="1" t="s">
        <v>104</v>
      </c>
      <c r="M45" s="1" t="s">
        <v>104</v>
      </c>
      <c r="N45" s="5">
        <v>1920200</v>
      </c>
      <c r="O45" s="5">
        <v>3840400</v>
      </c>
      <c r="P45" s="1">
        <v>753033</v>
      </c>
      <c r="Q45" s="1">
        <v>8</v>
      </c>
      <c r="R45" s="1">
        <v>24</v>
      </c>
      <c r="S45" s="1" t="s">
        <v>104</v>
      </c>
      <c r="T45" s="1" t="s">
        <v>104</v>
      </c>
      <c r="U45" s="1" t="s">
        <v>44</v>
      </c>
      <c r="V45" s="1" t="s">
        <v>29</v>
      </c>
      <c r="W45" s="1" t="s">
        <v>105</v>
      </c>
      <c r="X45" s="5"/>
      <c r="Y45" s="5"/>
      <c r="Z45" s="1"/>
      <c r="AA45" s="1" t="s">
        <v>116</v>
      </c>
      <c r="AB45" s="1">
        <v>2</v>
      </c>
      <c r="AC45" s="1">
        <v>5</v>
      </c>
      <c r="AD45" s="1">
        <v>0</v>
      </c>
      <c r="AE45" s="1">
        <v>0</v>
      </c>
      <c r="AF45" s="4">
        <v>46158</v>
      </c>
      <c r="AG45" s="4"/>
      <c r="AH45" s="4"/>
      <c r="AI45" s="5" t="str">
        <f t="shared" si="5"/>
        <v/>
      </c>
      <c r="AJ45" s="6" t="str">
        <f t="shared" si="6"/>
        <v/>
      </c>
      <c r="AK45" s="7">
        <f t="shared" si="7"/>
        <v>0</v>
      </c>
      <c r="AL45" s="1">
        <f t="shared" si="8"/>
        <v>7</v>
      </c>
      <c r="AM45" s="1" t="str">
        <f t="shared" si="9"/>
        <v/>
      </c>
      <c r="AN45" s="1" t="s">
        <v>107</v>
      </c>
      <c r="AO45" s="1" t="s">
        <v>108</v>
      </c>
      <c r="AP45" s="1" t="s">
        <v>229</v>
      </c>
    </row>
    <row r="46" spans="1:42" ht="14.5">
      <c r="A46" s="1" t="s">
        <v>233</v>
      </c>
      <c r="B46" s="1" t="s">
        <v>234</v>
      </c>
      <c r="C46" s="1" t="s">
        <v>129</v>
      </c>
      <c r="D46" s="1" t="s">
        <v>46</v>
      </c>
      <c r="E46" s="1" t="s">
        <v>64</v>
      </c>
      <c r="F46" s="1" t="s">
        <v>34</v>
      </c>
      <c r="G46" s="1" t="s">
        <v>27</v>
      </c>
      <c r="H46" s="4">
        <v>46152</v>
      </c>
      <c r="I46" s="4">
        <v>46174</v>
      </c>
      <c r="J46" s="1" t="s">
        <v>63</v>
      </c>
      <c r="K46" s="1" t="s">
        <v>53</v>
      </c>
      <c r="L46" s="1" t="s">
        <v>104</v>
      </c>
      <c r="M46" s="1" t="s">
        <v>104</v>
      </c>
      <c r="N46" s="5">
        <v>268900</v>
      </c>
      <c r="O46" s="5">
        <v>806700</v>
      </c>
      <c r="P46" s="1">
        <v>790964</v>
      </c>
      <c r="Q46" s="1">
        <v>1</v>
      </c>
      <c r="R46" s="1">
        <v>36</v>
      </c>
      <c r="S46" s="1" t="s">
        <v>104</v>
      </c>
      <c r="T46" s="1" t="s">
        <v>104</v>
      </c>
      <c r="U46" s="1" t="s">
        <v>28</v>
      </c>
      <c r="V46" s="1" t="s">
        <v>52</v>
      </c>
      <c r="W46" s="1" t="s">
        <v>210</v>
      </c>
      <c r="X46" s="5"/>
      <c r="Y46" s="5"/>
      <c r="Z46" s="1"/>
      <c r="AA46" s="1" t="s">
        <v>122</v>
      </c>
      <c r="AB46" s="1">
        <v>3</v>
      </c>
      <c r="AC46" s="1">
        <v>2</v>
      </c>
      <c r="AD46" s="1">
        <v>0</v>
      </c>
      <c r="AE46" s="1">
        <v>0</v>
      </c>
      <c r="AF46" s="4">
        <v>46157</v>
      </c>
      <c r="AG46" s="4"/>
      <c r="AH46" s="4"/>
      <c r="AI46" s="5" t="str">
        <f t="shared" si="5"/>
        <v/>
      </c>
      <c r="AJ46" s="6" t="str">
        <f t="shared" si="6"/>
        <v/>
      </c>
      <c r="AK46" s="7">
        <f t="shared" si="7"/>
        <v>0</v>
      </c>
      <c r="AL46" s="1">
        <f t="shared" si="8"/>
        <v>5</v>
      </c>
      <c r="AM46" s="1" t="str">
        <f t="shared" si="9"/>
        <v/>
      </c>
      <c r="AN46" s="1" t="s">
        <v>107</v>
      </c>
      <c r="AO46" s="1" t="s">
        <v>108</v>
      </c>
      <c r="AP46" s="1" t="s">
        <v>229</v>
      </c>
    </row>
    <row r="47" spans="1:42" ht="14.5">
      <c r="A47" s="1" t="s">
        <v>235</v>
      </c>
      <c r="B47" s="1" t="s">
        <v>132</v>
      </c>
      <c r="C47" s="1" t="s">
        <v>121</v>
      </c>
      <c r="D47" s="1" t="s">
        <v>30</v>
      </c>
      <c r="E47" s="1" t="s">
        <v>25</v>
      </c>
      <c r="F47" s="1" t="s">
        <v>55</v>
      </c>
      <c r="G47" s="1" t="s">
        <v>35</v>
      </c>
      <c r="H47" s="4">
        <v>46184</v>
      </c>
      <c r="I47" s="4">
        <v>46207</v>
      </c>
      <c r="J47" s="1" t="s">
        <v>63</v>
      </c>
      <c r="K47" s="1" t="s">
        <v>53</v>
      </c>
      <c r="L47" s="1" t="s">
        <v>104</v>
      </c>
      <c r="M47" s="1" t="s">
        <v>104</v>
      </c>
      <c r="N47" s="5">
        <v>1865000</v>
      </c>
      <c r="O47" s="5">
        <v>1865000</v>
      </c>
      <c r="P47" s="1">
        <v>828895</v>
      </c>
      <c r="Q47" s="1">
        <v>8</v>
      </c>
      <c r="R47" s="1">
        <v>12</v>
      </c>
      <c r="S47" s="1" t="s">
        <v>104</v>
      </c>
      <c r="T47" s="1" t="s">
        <v>113</v>
      </c>
      <c r="U47" s="1" t="s">
        <v>44</v>
      </c>
      <c r="V47" s="1" t="s">
        <v>29</v>
      </c>
      <c r="W47" s="1" t="s">
        <v>105</v>
      </c>
      <c r="X47" s="5"/>
      <c r="Y47" s="5"/>
      <c r="Z47" s="1"/>
      <c r="AA47" s="1" t="s">
        <v>126</v>
      </c>
      <c r="AB47" s="1">
        <v>1</v>
      </c>
      <c r="AC47" s="1">
        <v>3</v>
      </c>
      <c r="AD47" s="1">
        <v>0</v>
      </c>
      <c r="AE47" s="1">
        <v>0</v>
      </c>
      <c r="AF47" s="4">
        <v>46188</v>
      </c>
      <c r="AG47" s="4"/>
      <c r="AH47" s="4"/>
      <c r="AI47" s="5" t="str">
        <f t="shared" si="5"/>
        <v/>
      </c>
      <c r="AJ47" s="6" t="str">
        <f t="shared" si="6"/>
        <v/>
      </c>
      <c r="AK47" s="7">
        <f t="shared" si="7"/>
        <v>0</v>
      </c>
      <c r="AL47" s="1">
        <f t="shared" si="8"/>
        <v>4</v>
      </c>
      <c r="AM47" s="1" t="str">
        <f t="shared" si="9"/>
        <v/>
      </c>
      <c r="AN47" s="1" t="s">
        <v>107</v>
      </c>
      <c r="AO47" s="1" t="s">
        <v>108</v>
      </c>
      <c r="AP47" s="1" t="s">
        <v>236</v>
      </c>
    </row>
    <row r="48" spans="1:42" ht="14.5">
      <c r="A48" s="1" t="s">
        <v>237</v>
      </c>
      <c r="B48" s="1" t="s">
        <v>135</v>
      </c>
      <c r="C48" s="1" t="s">
        <v>125</v>
      </c>
      <c r="D48" s="1" t="s">
        <v>46</v>
      </c>
      <c r="E48" s="1" t="s">
        <v>49</v>
      </c>
      <c r="F48" s="1" t="s">
        <v>34</v>
      </c>
      <c r="G48" s="1" t="s">
        <v>43</v>
      </c>
      <c r="H48" s="4">
        <v>46185</v>
      </c>
      <c r="I48" s="4">
        <v>46209</v>
      </c>
      <c r="J48" s="1" t="s">
        <v>60</v>
      </c>
      <c r="K48" s="1" t="s">
        <v>31</v>
      </c>
      <c r="L48" s="1" t="s">
        <v>113</v>
      </c>
      <c r="M48" s="1" t="s">
        <v>113</v>
      </c>
      <c r="N48" s="5">
        <v>18000</v>
      </c>
      <c r="O48" s="5">
        <v>36000</v>
      </c>
      <c r="P48" s="1"/>
      <c r="Q48" s="1">
        <v>1</v>
      </c>
      <c r="R48" s="1">
        <v>24</v>
      </c>
      <c r="S48" s="1" t="s">
        <v>104</v>
      </c>
      <c r="T48" s="1" t="s">
        <v>104</v>
      </c>
      <c r="U48" s="1" t="s">
        <v>28</v>
      </c>
      <c r="V48" s="1"/>
      <c r="W48" s="1" t="s">
        <v>114</v>
      </c>
      <c r="X48" s="5">
        <v>36000</v>
      </c>
      <c r="Y48" s="5">
        <v>33000</v>
      </c>
      <c r="Z48" s="1" t="s">
        <v>122</v>
      </c>
      <c r="AA48" s="1" t="s">
        <v>129</v>
      </c>
      <c r="AB48" s="1">
        <v>2</v>
      </c>
      <c r="AC48" s="1">
        <v>4</v>
      </c>
      <c r="AD48" s="1">
        <v>4</v>
      </c>
      <c r="AE48" s="1">
        <v>3</v>
      </c>
      <c r="AF48" s="4">
        <v>46191</v>
      </c>
      <c r="AG48" s="4">
        <v>46198</v>
      </c>
      <c r="AH48" s="4">
        <v>46243</v>
      </c>
      <c r="AI48" s="5">
        <f t="shared" si="5"/>
        <v>3000</v>
      </c>
      <c r="AJ48" s="6">
        <f t="shared" si="6"/>
        <v>9.0909090909090912E-2</v>
      </c>
      <c r="AK48" s="7" t="str">
        <f t="shared" si="7"/>
        <v/>
      </c>
      <c r="AL48" s="1">
        <f t="shared" si="8"/>
        <v>6</v>
      </c>
      <c r="AM48" s="1">
        <f t="shared" si="9"/>
        <v>7</v>
      </c>
      <c r="AN48" s="1" t="s">
        <v>117</v>
      </c>
      <c r="AO48" s="1" t="s">
        <v>118</v>
      </c>
      <c r="AP48" s="1" t="s">
        <v>236</v>
      </c>
    </row>
    <row r="49" spans="1:42" ht="14.5">
      <c r="A49" s="1" t="s">
        <v>238</v>
      </c>
      <c r="B49" s="1" t="s">
        <v>137</v>
      </c>
      <c r="C49" s="1" t="s">
        <v>129</v>
      </c>
      <c r="D49" s="1" t="s">
        <v>46</v>
      </c>
      <c r="E49" s="1" t="s">
        <v>61</v>
      </c>
      <c r="F49" s="1" t="s">
        <v>50</v>
      </c>
      <c r="G49" s="1" t="s">
        <v>51</v>
      </c>
      <c r="H49" s="4">
        <v>46186</v>
      </c>
      <c r="I49" s="4">
        <v>46211</v>
      </c>
      <c r="J49" s="1" t="s">
        <v>60</v>
      </c>
      <c r="K49" s="1" t="s">
        <v>31</v>
      </c>
      <c r="L49" s="1" t="s">
        <v>113</v>
      </c>
      <c r="M49" s="1" t="s">
        <v>113</v>
      </c>
      <c r="N49" s="5">
        <v>18000</v>
      </c>
      <c r="O49" s="5">
        <v>54000</v>
      </c>
      <c r="P49" s="1">
        <v>14757</v>
      </c>
      <c r="Q49" s="1">
        <v>8</v>
      </c>
      <c r="R49" s="1">
        <v>36</v>
      </c>
      <c r="S49" s="1" t="s">
        <v>104</v>
      </c>
      <c r="T49" s="1" t="s">
        <v>104</v>
      </c>
      <c r="U49" s="1" t="s">
        <v>28</v>
      </c>
      <c r="V49" s="1"/>
      <c r="W49" s="1" t="s">
        <v>114</v>
      </c>
      <c r="X49" s="5">
        <v>54000</v>
      </c>
      <c r="Y49" s="5">
        <v>48900</v>
      </c>
      <c r="Z49" s="1" t="s">
        <v>126</v>
      </c>
      <c r="AA49" s="1" t="s">
        <v>115</v>
      </c>
      <c r="AB49" s="1">
        <v>3</v>
      </c>
      <c r="AC49" s="1">
        <v>5</v>
      </c>
      <c r="AD49" s="1">
        <v>5</v>
      </c>
      <c r="AE49" s="1">
        <v>4</v>
      </c>
      <c r="AF49" s="4">
        <v>46194</v>
      </c>
      <c r="AG49" s="4">
        <v>46203</v>
      </c>
      <c r="AH49" s="4">
        <v>46246</v>
      </c>
      <c r="AI49" s="5">
        <f t="shared" si="5"/>
        <v>5100</v>
      </c>
      <c r="AJ49" s="6">
        <f t="shared" si="6"/>
        <v>0.10429447852760736</v>
      </c>
      <c r="AK49" s="7">
        <f t="shared" si="7"/>
        <v>3.6592803415328317</v>
      </c>
      <c r="AL49" s="1">
        <f t="shared" si="8"/>
        <v>8</v>
      </c>
      <c r="AM49" s="1">
        <f t="shared" si="9"/>
        <v>9</v>
      </c>
      <c r="AN49" s="1" t="s">
        <v>117</v>
      </c>
      <c r="AO49" s="1" t="s">
        <v>118</v>
      </c>
      <c r="AP49" s="1" t="s">
        <v>236</v>
      </c>
    </row>
    <row r="50" spans="1:42" ht="14.5">
      <c r="A50" s="1" t="s">
        <v>239</v>
      </c>
      <c r="B50" s="1" t="s">
        <v>139</v>
      </c>
      <c r="C50" s="1" t="s">
        <v>140</v>
      </c>
      <c r="D50" s="1" t="s">
        <v>46</v>
      </c>
      <c r="E50" s="1" t="s">
        <v>33</v>
      </c>
      <c r="F50" s="1" t="s">
        <v>26</v>
      </c>
      <c r="G50" s="1" t="s">
        <v>27</v>
      </c>
      <c r="H50" s="4">
        <v>46187</v>
      </c>
      <c r="I50" s="4">
        <v>46213</v>
      </c>
      <c r="J50" s="1" t="s">
        <v>63</v>
      </c>
      <c r="K50" s="1" t="s">
        <v>53</v>
      </c>
      <c r="L50" s="1" t="s">
        <v>104</v>
      </c>
      <c r="M50" s="1" t="s">
        <v>104</v>
      </c>
      <c r="N50" s="5">
        <v>134400</v>
      </c>
      <c r="O50" s="5">
        <v>134400</v>
      </c>
      <c r="P50" s="1">
        <v>52688</v>
      </c>
      <c r="Q50" s="1">
        <v>1</v>
      </c>
      <c r="R50" s="1">
        <v>12</v>
      </c>
      <c r="S50" s="1" t="s">
        <v>104</v>
      </c>
      <c r="T50" s="1" t="s">
        <v>104</v>
      </c>
      <c r="U50" s="1" t="s">
        <v>28</v>
      </c>
      <c r="V50" s="1" t="s">
        <v>37</v>
      </c>
      <c r="W50" s="1" t="s">
        <v>204</v>
      </c>
      <c r="X50" s="5"/>
      <c r="Y50" s="5"/>
      <c r="Z50" s="1"/>
      <c r="AA50" s="1" t="s">
        <v>106</v>
      </c>
      <c r="AB50" s="1">
        <v>1</v>
      </c>
      <c r="AC50" s="1">
        <v>2</v>
      </c>
      <c r="AD50" s="1">
        <v>0</v>
      </c>
      <c r="AE50" s="1">
        <v>0</v>
      </c>
      <c r="AF50" s="4">
        <v>46190</v>
      </c>
      <c r="AG50" s="4"/>
      <c r="AH50" s="4"/>
      <c r="AI50" s="5" t="str">
        <f t="shared" si="5"/>
        <v/>
      </c>
      <c r="AJ50" s="6" t="str">
        <f t="shared" si="6"/>
        <v/>
      </c>
      <c r="AK50" s="7">
        <f t="shared" si="7"/>
        <v>0</v>
      </c>
      <c r="AL50" s="1">
        <f t="shared" si="8"/>
        <v>3</v>
      </c>
      <c r="AM50" s="1" t="str">
        <f t="shared" si="9"/>
        <v/>
      </c>
      <c r="AN50" s="1" t="s">
        <v>107</v>
      </c>
      <c r="AO50" s="1" t="s">
        <v>108</v>
      </c>
      <c r="AP50" s="1" t="s">
        <v>236</v>
      </c>
    </row>
    <row r="51" spans="1:42" ht="14.5">
      <c r="A51" s="1" t="s">
        <v>240</v>
      </c>
      <c r="B51" s="1" t="s">
        <v>143</v>
      </c>
      <c r="C51" s="1" t="s">
        <v>144</v>
      </c>
      <c r="D51" s="1" t="s">
        <v>38</v>
      </c>
      <c r="E51" s="1" t="s">
        <v>54</v>
      </c>
      <c r="F51" s="1" t="s">
        <v>42</v>
      </c>
      <c r="G51" s="1" t="s">
        <v>35</v>
      </c>
      <c r="H51" s="4">
        <v>46188</v>
      </c>
      <c r="I51" s="4">
        <v>46215</v>
      </c>
      <c r="J51" s="1" t="s">
        <v>60</v>
      </c>
      <c r="K51" s="1" t="s">
        <v>31</v>
      </c>
      <c r="L51" s="1" t="s">
        <v>113</v>
      </c>
      <c r="M51" s="1" t="s">
        <v>113</v>
      </c>
      <c r="N51" s="5">
        <v>41700</v>
      </c>
      <c r="O51" s="5">
        <v>83400</v>
      </c>
      <c r="P51" s="1">
        <v>90619</v>
      </c>
      <c r="Q51" s="1">
        <v>8</v>
      </c>
      <c r="R51" s="1">
        <v>24</v>
      </c>
      <c r="S51" s="1" t="s">
        <v>113</v>
      </c>
      <c r="T51" s="1" t="s">
        <v>104</v>
      </c>
      <c r="U51" s="1" t="s">
        <v>28</v>
      </c>
      <c r="V51" s="1"/>
      <c r="W51" s="1" t="s">
        <v>114</v>
      </c>
      <c r="X51" s="5">
        <v>83400</v>
      </c>
      <c r="Y51" s="5">
        <v>73200</v>
      </c>
      <c r="Z51" s="1" t="s">
        <v>115</v>
      </c>
      <c r="AA51" s="1" t="s">
        <v>116</v>
      </c>
      <c r="AB51" s="1">
        <v>2</v>
      </c>
      <c r="AC51" s="1">
        <v>3</v>
      </c>
      <c r="AD51" s="1">
        <v>3</v>
      </c>
      <c r="AE51" s="1">
        <v>3</v>
      </c>
      <c r="AF51" s="4">
        <v>46193</v>
      </c>
      <c r="AG51" s="4">
        <v>46199</v>
      </c>
      <c r="AH51" s="4">
        <v>46252</v>
      </c>
      <c r="AI51" s="5">
        <f t="shared" si="5"/>
        <v>10200</v>
      </c>
      <c r="AJ51" s="6">
        <f t="shared" si="6"/>
        <v>0.13934426229508196</v>
      </c>
      <c r="AK51" s="7">
        <f t="shared" si="7"/>
        <v>0.92033679471192575</v>
      </c>
      <c r="AL51" s="1">
        <f t="shared" si="8"/>
        <v>5</v>
      </c>
      <c r="AM51" s="1">
        <f t="shared" si="9"/>
        <v>6</v>
      </c>
      <c r="AN51" s="1" t="s">
        <v>117</v>
      </c>
      <c r="AO51" s="1" t="s">
        <v>118</v>
      </c>
      <c r="AP51" s="1" t="s">
        <v>236</v>
      </c>
    </row>
    <row r="52" spans="1:42" ht="14.5">
      <c r="A52" s="1" t="s">
        <v>241</v>
      </c>
      <c r="B52" s="1" t="s">
        <v>146</v>
      </c>
      <c r="C52" s="1" t="s">
        <v>129</v>
      </c>
      <c r="D52" s="1" t="s">
        <v>46</v>
      </c>
      <c r="E52" s="1" t="s">
        <v>58</v>
      </c>
      <c r="F52" s="1" t="s">
        <v>26</v>
      </c>
      <c r="G52" s="1" t="s">
        <v>43</v>
      </c>
      <c r="H52" s="4">
        <v>46219</v>
      </c>
      <c r="I52" s="4">
        <v>46247</v>
      </c>
      <c r="J52" s="1" t="s">
        <v>63</v>
      </c>
      <c r="K52" s="1" t="s">
        <v>53</v>
      </c>
      <c r="L52" s="1" t="s">
        <v>104</v>
      </c>
      <c r="M52" s="1" t="s">
        <v>104</v>
      </c>
      <c r="N52" s="5">
        <v>170500</v>
      </c>
      <c r="O52" s="5">
        <v>511500</v>
      </c>
      <c r="P52" s="1"/>
      <c r="Q52" s="1">
        <v>1</v>
      </c>
      <c r="R52" s="1">
        <v>36</v>
      </c>
      <c r="S52" s="1" t="s">
        <v>104</v>
      </c>
      <c r="T52" s="1" t="s">
        <v>104</v>
      </c>
      <c r="U52" s="1" t="s">
        <v>44</v>
      </c>
      <c r="V52" s="1" t="s">
        <v>37</v>
      </c>
      <c r="W52" s="1" t="s">
        <v>204</v>
      </c>
      <c r="X52" s="5"/>
      <c r="Y52" s="5"/>
      <c r="Z52" s="1"/>
      <c r="AA52" s="1" t="s">
        <v>122</v>
      </c>
      <c r="AB52" s="1">
        <v>3</v>
      </c>
      <c r="AC52" s="1">
        <v>8</v>
      </c>
      <c r="AD52" s="1">
        <v>0</v>
      </c>
      <c r="AE52" s="1">
        <v>0</v>
      </c>
      <c r="AF52" s="4">
        <v>46230</v>
      </c>
      <c r="AG52" s="4"/>
      <c r="AH52" s="4"/>
      <c r="AI52" s="5" t="str">
        <f t="shared" si="5"/>
        <v/>
      </c>
      <c r="AJ52" s="6" t="str">
        <f t="shared" si="6"/>
        <v/>
      </c>
      <c r="AK52" s="7" t="str">
        <f t="shared" si="7"/>
        <v/>
      </c>
      <c r="AL52" s="1">
        <f t="shared" si="8"/>
        <v>11</v>
      </c>
      <c r="AM52" s="1" t="str">
        <f t="shared" si="9"/>
        <v/>
      </c>
      <c r="AN52" s="1" t="s">
        <v>107</v>
      </c>
      <c r="AO52" s="1" t="s">
        <v>108</v>
      </c>
      <c r="AP52" s="1" t="s">
        <v>242</v>
      </c>
    </row>
    <row r="53" spans="1:42" ht="14.5">
      <c r="A53" s="1" t="s">
        <v>243</v>
      </c>
      <c r="B53" s="1" t="s">
        <v>244</v>
      </c>
      <c r="C53" s="1" t="s">
        <v>140</v>
      </c>
      <c r="D53" s="1" t="s">
        <v>46</v>
      </c>
      <c r="E53" s="1" t="s">
        <v>49</v>
      </c>
      <c r="F53" s="1" t="s">
        <v>42</v>
      </c>
      <c r="G53" s="1" t="s">
        <v>51</v>
      </c>
      <c r="H53" s="4">
        <v>46220</v>
      </c>
      <c r="I53" s="4">
        <v>46249</v>
      </c>
      <c r="J53" s="1" t="s">
        <v>60</v>
      </c>
      <c r="K53" s="1" t="s">
        <v>31</v>
      </c>
      <c r="L53" s="1" t="s">
        <v>113</v>
      </c>
      <c r="M53" s="1" t="s">
        <v>113</v>
      </c>
      <c r="N53" s="5">
        <v>18000</v>
      </c>
      <c r="O53" s="5">
        <v>18000</v>
      </c>
      <c r="P53" s="1"/>
      <c r="Q53" s="1">
        <v>8</v>
      </c>
      <c r="R53" s="1">
        <v>12</v>
      </c>
      <c r="S53" s="1" t="s">
        <v>104</v>
      </c>
      <c r="T53" s="1" t="s">
        <v>104</v>
      </c>
      <c r="U53" s="1" t="s">
        <v>28</v>
      </c>
      <c r="V53" s="1"/>
      <c r="W53" s="1" t="s">
        <v>114</v>
      </c>
      <c r="X53" s="5">
        <v>18000</v>
      </c>
      <c r="Y53" s="5">
        <v>16500</v>
      </c>
      <c r="Z53" s="1" t="s">
        <v>116</v>
      </c>
      <c r="AA53" s="1" t="s">
        <v>126</v>
      </c>
      <c r="AB53" s="1">
        <v>1</v>
      </c>
      <c r="AC53" s="1">
        <v>5</v>
      </c>
      <c r="AD53" s="1">
        <v>5</v>
      </c>
      <c r="AE53" s="1">
        <v>2</v>
      </c>
      <c r="AF53" s="4">
        <v>46226</v>
      </c>
      <c r="AG53" s="4">
        <v>46233</v>
      </c>
      <c r="AH53" s="4">
        <v>46288</v>
      </c>
      <c r="AI53" s="5">
        <f t="shared" si="5"/>
        <v>1500</v>
      </c>
      <c r="AJ53" s="6">
        <f t="shared" si="6"/>
        <v>9.0909090909090912E-2</v>
      </c>
      <c r="AK53" s="7" t="str">
        <f t="shared" si="7"/>
        <v/>
      </c>
      <c r="AL53" s="1">
        <f t="shared" si="8"/>
        <v>6</v>
      </c>
      <c r="AM53" s="1">
        <f t="shared" si="9"/>
        <v>7</v>
      </c>
      <c r="AN53" s="1" t="s">
        <v>117</v>
      </c>
      <c r="AO53" s="1" t="s">
        <v>118</v>
      </c>
      <c r="AP53" s="1" t="s">
        <v>242</v>
      </c>
    </row>
    <row r="54" spans="1:42" ht="14.5">
      <c r="A54" s="1" t="s">
        <v>245</v>
      </c>
      <c r="B54" s="1" t="s">
        <v>246</v>
      </c>
      <c r="C54" s="1" t="s">
        <v>144</v>
      </c>
      <c r="D54" s="1" t="s">
        <v>38</v>
      </c>
      <c r="E54" s="1" t="s">
        <v>41</v>
      </c>
      <c r="F54" s="1" t="s">
        <v>55</v>
      </c>
      <c r="G54" s="1" t="s">
        <v>27</v>
      </c>
      <c r="H54" s="4">
        <v>46221</v>
      </c>
      <c r="I54" s="4">
        <v>46251</v>
      </c>
      <c r="J54" s="1" t="s">
        <v>40</v>
      </c>
      <c r="K54" s="1" t="s">
        <v>57</v>
      </c>
      <c r="L54" s="1" t="s">
        <v>113</v>
      </c>
      <c r="M54" s="1" t="s">
        <v>104</v>
      </c>
      <c r="N54" s="5">
        <v>1062900</v>
      </c>
      <c r="O54" s="5">
        <v>2125800</v>
      </c>
      <c r="P54" s="1">
        <v>204412</v>
      </c>
      <c r="Q54" s="1">
        <v>1</v>
      </c>
      <c r="R54" s="1">
        <v>24</v>
      </c>
      <c r="S54" s="1" t="s">
        <v>113</v>
      </c>
      <c r="T54" s="1" t="s">
        <v>113</v>
      </c>
      <c r="U54" s="1" t="s">
        <v>44</v>
      </c>
      <c r="V54" s="1"/>
      <c r="W54" s="1" t="s">
        <v>147</v>
      </c>
      <c r="X54" s="5"/>
      <c r="Y54" s="5"/>
      <c r="Z54" s="1"/>
      <c r="AA54" s="1" t="s">
        <v>129</v>
      </c>
      <c r="AB54" s="1">
        <v>2</v>
      </c>
      <c r="AC54" s="1">
        <v>7</v>
      </c>
      <c r="AD54" s="1">
        <v>0</v>
      </c>
      <c r="AE54" s="1">
        <v>0</v>
      </c>
      <c r="AF54" s="4">
        <v>46230</v>
      </c>
      <c r="AG54" s="4"/>
      <c r="AH54" s="4"/>
      <c r="AI54" s="5" t="str">
        <f t="shared" si="5"/>
        <v/>
      </c>
      <c r="AJ54" s="6" t="str">
        <f t="shared" si="6"/>
        <v/>
      </c>
      <c r="AK54" s="7">
        <f t="shared" si="7"/>
        <v>0</v>
      </c>
      <c r="AL54" s="1">
        <f t="shared" si="8"/>
        <v>9</v>
      </c>
      <c r="AM54" s="1" t="str">
        <f t="shared" si="9"/>
        <v/>
      </c>
      <c r="AN54" s="1" t="s">
        <v>247</v>
      </c>
      <c r="AO54" s="1" t="s">
        <v>248</v>
      </c>
      <c r="AP54" s="1" t="s">
        <v>242</v>
      </c>
    </row>
    <row r="55" spans="1:42" ht="14.5">
      <c r="A55" s="1" t="s">
        <v>249</v>
      </c>
      <c r="B55" s="1" t="s">
        <v>250</v>
      </c>
      <c r="C55" s="1" t="s">
        <v>115</v>
      </c>
      <c r="D55" s="1" t="s">
        <v>30</v>
      </c>
      <c r="E55" s="1" t="s">
        <v>33</v>
      </c>
      <c r="F55" s="1" t="s">
        <v>34</v>
      </c>
      <c r="G55" s="1" t="s">
        <v>35</v>
      </c>
      <c r="H55" s="4">
        <v>46222</v>
      </c>
      <c r="I55" s="4">
        <v>46253</v>
      </c>
      <c r="J55" s="1" t="s">
        <v>48</v>
      </c>
      <c r="K55" s="1" t="s">
        <v>57</v>
      </c>
      <c r="L55" s="1" t="s">
        <v>113</v>
      </c>
      <c r="M55" s="1" t="s">
        <v>104</v>
      </c>
      <c r="N55" s="5">
        <v>618000</v>
      </c>
      <c r="O55" s="5">
        <v>1854000</v>
      </c>
      <c r="P55" s="1">
        <v>242343</v>
      </c>
      <c r="Q55" s="1">
        <v>8</v>
      </c>
      <c r="R55" s="1">
        <v>36</v>
      </c>
      <c r="S55" s="1" t="s">
        <v>113</v>
      </c>
      <c r="T55" s="1" t="s">
        <v>113</v>
      </c>
      <c r="U55" s="1" t="s">
        <v>28</v>
      </c>
      <c r="V55" s="1"/>
      <c r="W55" s="1" t="s">
        <v>114</v>
      </c>
      <c r="X55" s="5"/>
      <c r="Y55" s="5"/>
      <c r="Z55" s="1"/>
      <c r="AA55" s="1" t="s">
        <v>115</v>
      </c>
      <c r="AB55" s="1">
        <v>3</v>
      </c>
      <c r="AC55" s="1">
        <v>3</v>
      </c>
      <c r="AD55" s="1">
        <v>0</v>
      </c>
      <c r="AE55" s="1">
        <v>0</v>
      </c>
      <c r="AF55" s="4">
        <v>46228</v>
      </c>
      <c r="AG55" s="4"/>
      <c r="AH55" s="4"/>
      <c r="AI55" s="5" t="str">
        <f t="shared" si="5"/>
        <v/>
      </c>
      <c r="AJ55" s="6" t="str">
        <f t="shared" si="6"/>
        <v/>
      </c>
      <c r="AK55" s="7">
        <f t="shared" si="7"/>
        <v>0</v>
      </c>
      <c r="AL55" s="1">
        <f t="shared" si="8"/>
        <v>6</v>
      </c>
      <c r="AM55" s="1" t="str">
        <f t="shared" si="9"/>
        <v/>
      </c>
      <c r="AN55" s="1" t="s">
        <v>247</v>
      </c>
      <c r="AO55" s="1" t="s">
        <v>248</v>
      </c>
      <c r="AP55" s="1" t="s">
        <v>242</v>
      </c>
    </row>
    <row r="56" spans="1:42" ht="14.5">
      <c r="A56" s="1" t="s">
        <v>251</v>
      </c>
      <c r="B56" s="1" t="s">
        <v>157</v>
      </c>
      <c r="C56" s="1" t="s">
        <v>158</v>
      </c>
      <c r="D56" s="1" t="s">
        <v>30</v>
      </c>
      <c r="E56" s="1" t="s">
        <v>54</v>
      </c>
      <c r="F56" s="1" t="s">
        <v>55</v>
      </c>
      <c r="G56" s="1" t="s">
        <v>43</v>
      </c>
      <c r="H56" s="4">
        <v>46205</v>
      </c>
      <c r="I56" s="4">
        <v>46237</v>
      </c>
      <c r="J56" s="1" t="s">
        <v>47</v>
      </c>
      <c r="K56" s="1" t="s">
        <v>47</v>
      </c>
      <c r="L56" s="1" t="s">
        <v>113</v>
      </c>
      <c r="M56" s="1" t="s">
        <v>113</v>
      </c>
      <c r="N56" s="5">
        <v>128900</v>
      </c>
      <c r="O56" s="5">
        <v>128900</v>
      </c>
      <c r="P56" s="1">
        <v>280274</v>
      </c>
      <c r="Q56" s="1">
        <v>1</v>
      </c>
      <c r="R56" s="1">
        <v>12</v>
      </c>
      <c r="S56" s="1" t="s">
        <v>104</v>
      </c>
      <c r="T56" s="1" t="s">
        <v>104</v>
      </c>
      <c r="U56" s="1" t="s">
        <v>36</v>
      </c>
      <c r="V56" s="1"/>
      <c r="W56" s="1" t="s">
        <v>252</v>
      </c>
      <c r="X56" s="5">
        <v>128900</v>
      </c>
      <c r="Y56" s="5"/>
      <c r="Z56" s="1"/>
      <c r="AA56" s="1" t="s">
        <v>106</v>
      </c>
      <c r="AB56" s="1">
        <v>1</v>
      </c>
      <c r="AC56" s="1">
        <v>4</v>
      </c>
      <c r="AD56" s="1">
        <v>4</v>
      </c>
      <c r="AE56" s="1">
        <v>2</v>
      </c>
      <c r="AF56" s="4">
        <v>46210</v>
      </c>
      <c r="AG56" s="4">
        <v>46216</v>
      </c>
      <c r="AH56" s="4"/>
      <c r="AI56" s="5" t="str">
        <f t="shared" si="5"/>
        <v/>
      </c>
      <c r="AJ56" s="6" t="str">
        <f t="shared" si="6"/>
        <v/>
      </c>
      <c r="AK56" s="7">
        <f t="shared" si="7"/>
        <v>0.45990709091817294</v>
      </c>
      <c r="AL56" s="1">
        <f t="shared" si="8"/>
        <v>5</v>
      </c>
      <c r="AM56" s="1">
        <f t="shared" si="9"/>
        <v>6</v>
      </c>
      <c r="AN56" s="1" t="s">
        <v>253</v>
      </c>
      <c r="AO56" s="1" t="s">
        <v>248</v>
      </c>
      <c r="AP56" s="1" t="s">
        <v>242</v>
      </c>
    </row>
    <row r="57" spans="1:42" ht="14.5">
      <c r="A57" s="1" t="s">
        <v>254</v>
      </c>
      <c r="B57" s="1" t="s">
        <v>255</v>
      </c>
      <c r="C57" s="1" t="s">
        <v>144</v>
      </c>
      <c r="D57" s="1" t="s">
        <v>38</v>
      </c>
      <c r="E57" s="1" t="s">
        <v>64</v>
      </c>
      <c r="F57" s="1" t="s">
        <v>34</v>
      </c>
      <c r="G57" s="1" t="s">
        <v>51</v>
      </c>
      <c r="H57" s="4">
        <v>46237</v>
      </c>
      <c r="I57" s="4">
        <v>46270</v>
      </c>
      <c r="J57" s="1" t="s">
        <v>39</v>
      </c>
      <c r="K57" s="1" t="s">
        <v>39</v>
      </c>
      <c r="L57" s="1" t="s">
        <v>113</v>
      </c>
      <c r="M57" s="1" t="s">
        <v>113</v>
      </c>
      <c r="N57" s="5">
        <v>108200</v>
      </c>
      <c r="O57" s="5">
        <v>216400</v>
      </c>
      <c r="P57" s="1">
        <v>318205</v>
      </c>
      <c r="Q57" s="1">
        <v>8</v>
      </c>
      <c r="R57" s="1">
        <v>24</v>
      </c>
      <c r="S57" s="1" t="s">
        <v>113</v>
      </c>
      <c r="T57" s="1" t="s">
        <v>104</v>
      </c>
      <c r="U57" s="1" t="s">
        <v>28</v>
      </c>
      <c r="V57" s="1"/>
      <c r="W57" s="1" t="s">
        <v>114</v>
      </c>
      <c r="X57" s="5">
        <v>216400</v>
      </c>
      <c r="Y57" s="5"/>
      <c r="Z57" s="1"/>
      <c r="AA57" s="1" t="s">
        <v>116</v>
      </c>
      <c r="AB57" s="1">
        <v>2</v>
      </c>
      <c r="AC57" s="1">
        <v>5</v>
      </c>
      <c r="AD57" s="1">
        <v>5</v>
      </c>
      <c r="AE57" s="1">
        <v>3</v>
      </c>
      <c r="AF57" s="4">
        <v>46244</v>
      </c>
      <c r="AG57" s="4">
        <v>46252</v>
      </c>
      <c r="AH57" s="4"/>
      <c r="AI57" s="5" t="str">
        <f t="shared" si="5"/>
        <v/>
      </c>
      <c r="AJ57" s="6" t="str">
        <f t="shared" si="6"/>
        <v/>
      </c>
      <c r="AK57" s="7">
        <f t="shared" si="7"/>
        <v>0.68006473814050694</v>
      </c>
      <c r="AL57" s="1">
        <f t="shared" si="8"/>
        <v>7</v>
      </c>
      <c r="AM57" s="1">
        <f t="shared" si="9"/>
        <v>8</v>
      </c>
      <c r="AN57" s="1" t="s">
        <v>256</v>
      </c>
      <c r="AO57" s="1" t="s">
        <v>248</v>
      </c>
      <c r="AP57" s="1" t="s">
        <v>257</v>
      </c>
    </row>
    <row r="58" spans="1:42" ht="14.5">
      <c r="A58" s="1" t="s">
        <v>258</v>
      </c>
      <c r="B58" s="1" t="s">
        <v>163</v>
      </c>
      <c r="C58" s="1" t="s">
        <v>115</v>
      </c>
      <c r="D58" s="1" t="s">
        <v>30</v>
      </c>
      <c r="E58" s="1" t="s">
        <v>49</v>
      </c>
      <c r="F58" s="1" t="s">
        <v>50</v>
      </c>
      <c r="G58" s="1" t="s">
        <v>27</v>
      </c>
      <c r="H58" s="4">
        <v>46238</v>
      </c>
      <c r="I58" s="4">
        <v>46272</v>
      </c>
      <c r="J58" s="1" t="s">
        <v>48</v>
      </c>
      <c r="K58" s="1" t="s">
        <v>57</v>
      </c>
      <c r="L58" s="1" t="s">
        <v>113</v>
      </c>
      <c r="M58" s="1" t="s">
        <v>104</v>
      </c>
      <c r="N58" s="5">
        <v>18000</v>
      </c>
      <c r="O58" s="5">
        <v>54000</v>
      </c>
      <c r="P58" s="1"/>
      <c r="Q58" s="1">
        <v>1</v>
      </c>
      <c r="R58" s="1">
        <v>36</v>
      </c>
      <c r="S58" s="1" t="s">
        <v>113</v>
      </c>
      <c r="T58" s="1" t="s">
        <v>104</v>
      </c>
      <c r="U58" s="1" t="s">
        <v>28</v>
      </c>
      <c r="V58" s="1"/>
      <c r="W58" s="1" t="s">
        <v>114</v>
      </c>
      <c r="X58" s="5"/>
      <c r="Y58" s="5"/>
      <c r="Z58" s="1"/>
      <c r="AA58" s="1" t="s">
        <v>122</v>
      </c>
      <c r="AB58" s="1">
        <v>3</v>
      </c>
      <c r="AC58" s="1">
        <v>2</v>
      </c>
      <c r="AD58" s="1">
        <v>0</v>
      </c>
      <c r="AE58" s="1">
        <v>0</v>
      </c>
      <c r="AF58" s="4">
        <v>46243</v>
      </c>
      <c r="AG58" s="4"/>
      <c r="AH58" s="4"/>
      <c r="AI58" s="5" t="str">
        <f t="shared" si="5"/>
        <v/>
      </c>
      <c r="AJ58" s="6" t="str">
        <f t="shared" si="6"/>
        <v/>
      </c>
      <c r="AK58" s="7" t="str">
        <f t="shared" si="7"/>
        <v/>
      </c>
      <c r="AL58" s="1">
        <f t="shared" si="8"/>
        <v>5</v>
      </c>
      <c r="AM58" s="1" t="str">
        <f t="shared" si="9"/>
        <v/>
      </c>
      <c r="AN58" s="1" t="s">
        <v>247</v>
      </c>
      <c r="AO58" s="1" t="s">
        <v>248</v>
      </c>
      <c r="AP58" s="1" t="s">
        <v>257</v>
      </c>
    </row>
    <row r="59" spans="1:42" ht="14.5">
      <c r="A59" s="1" t="s">
        <v>259</v>
      </c>
      <c r="B59" s="1" t="s">
        <v>166</v>
      </c>
      <c r="C59" s="1" t="s">
        <v>158</v>
      </c>
      <c r="D59" s="1" t="s">
        <v>30</v>
      </c>
      <c r="E59" s="1" t="s">
        <v>61</v>
      </c>
      <c r="F59" s="1" t="s">
        <v>26</v>
      </c>
      <c r="G59" s="1" t="s">
        <v>35</v>
      </c>
      <c r="H59" s="4">
        <v>46239</v>
      </c>
      <c r="I59" s="4">
        <v>46274</v>
      </c>
      <c r="J59" s="1" t="s">
        <v>47</v>
      </c>
      <c r="K59" s="1" t="s">
        <v>47</v>
      </c>
      <c r="L59" s="1" t="s">
        <v>113</v>
      </c>
      <c r="M59" s="1" t="s">
        <v>113</v>
      </c>
      <c r="N59" s="5">
        <v>307400</v>
      </c>
      <c r="O59" s="5">
        <v>307400</v>
      </c>
      <c r="P59" s="1">
        <v>394067</v>
      </c>
      <c r="Q59" s="1">
        <v>8</v>
      </c>
      <c r="R59" s="1">
        <v>12</v>
      </c>
      <c r="S59" s="1" t="s">
        <v>104</v>
      </c>
      <c r="T59" s="1" t="s">
        <v>104</v>
      </c>
      <c r="U59" s="1" t="s">
        <v>28</v>
      </c>
      <c r="V59" s="1"/>
      <c r="W59" s="1" t="s">
        <v>114</v>
      </c>
      <c r="X59" s="5">
        <v>307400</v>
      </c>
      <c r="Y59" s="5"/>
      <c r="Z59" s="1"/>
      <c r="AA59" s="1" t="s">
        <v>126</v>
      </c>
      <c r="AB59" s="1">
        <v>1</v>
      </c>
      <c r="AC59" s="1">
        <v>3</v>
      </c>
      <c r="AD59" s="1">
        <v>3</v>
      </c>
      <c r="AE59" s="1">
        <v>2</v>
      </c>
      <c r="AF59" s="4">
        <v>46243</v>
      </c>
      <c r="AG59" s="4">
        <v>46248</v>
      </c>
      <c r="AH59" s="4"/>
      <c r="AI59" s="5" t="str">
        <f t="shared" si="5"/>
        <v/>
      </c>
      <c r="AJ59" s="6" t="str">
        <f t="shared" si="6"/>
        <v/>
      </c>
      <c r="AK59" s="7">
        <f t="shared" si="7"/>
        <v>0.78007039412079671</v>
      </c>
      <c r="AL59" s="1">
        <f t="shared" si="8"/>
        <v>4</v>
      </c>
      <c r="AM59" s="1">
        <f t="shared" si="9"/>
        <v>5</v>
      </c>
      <c r="AN59" s="1" t="s">
        <v>253</v>
      </c>
      <c r="AO59" s="1" t="s">
        <v>248</v>
      </c>
      <c r="AP59" s="1" t="s">
        <v>257</v>
      </c>
    </row>
    <row r="60" spans="1:42" ht="14.5">
      <c r="A60" s="1" t="s">
        <v>260</v>
      </c>
      <c r="B60" s="1" t="s">
        <v>168</v>
      </c>
      <c r="C60" s="1" t="s">
        <v>169</v>
      </c>
      <c r="D60" s="1" t="s">
        <v>30</v>
      </c>
      <c r="E60" s="1" t="s">
        <v>33</v>
      </c>
      <c r="F60" s="1" t="s">
        <v>42</v>
      </c>
      <c r="G60" s="1" t="s">
        <v>43</v>
      </c>
      <c r="H60" s="4">
        <v>46240</v>
      </c>
      <c r="I60" s="4">
        <v>46276</v>
      </c>
      <c r="J60" s="1" t="s">
        <v>39</v>
      </c>
      <c r="K60" s="1" t="s">
        <v>39</v>
      </c>
      <c r="L60" s="1" t="s">
        <v>113</v>
      </c>
      <c r="M60" s="1" t="s">
        <v>113</v>
      </c>
      <c r="N60" s="5">
        <v>1101600</v>
      </c>
      <c r="O60" s="5">
        <v>2203200</v>
      </c>
      <c r="P60" s="1">
        <v>431998</v>
      </c>
      <c r="Q60" s="1">
        <v>1</v>
      </c>
      <c r="R60" s="1">
        <v>24</v>
      </c>
      <c r="S60" s="1" t="s">
        <v>113</v>
      </c>
      <c r="T60" s="1" t="s">
        <v>113</v>
      </c>
      <c r="U60" s="1" t="s">
        <v>28</v>
      </c>
      <c r="V60" s="1"/>
      <c r="W60" s="1" t="s">
        <v>114</v>
      </c>
      <c r="X60" s="5">
        <v>2203200</v>
      </c>
      <c r="Y60" s="5"/>
      <c r="Z60" s="1"/>
      <c r="AA60" s="1" t="s">
        <v>129</v>
      </c>
      <c r="AB60" s="1">
        <v>2</v>
      </c>
      <c r="AC60" s="1">
        <v>4</v>
      </c>
      <c r="AD60" s="1">
        <v>4</v>
      </c>
      <c r="AE60" s="1">
        <v>3</v>
      </c>
      <c r="AF60" s="4">
        <v>46246</v>
      </c>
      <c r="AG60" s="4">
        <v>46253</v>
      </c>
      <c r="AH60" s="4"/>
      <c r="AI60" s="5" t="str">
        <f t="shared" si="5"/>
        <v/>
      </c>
      <c r="AJ60" s="6" t="str">
        <f t="shared" si="6"/>
        <v/>
      </c>
      <c r="AK60" s="7">
        <f t="shared" si="7"/>
        <v>5.100023611220422</v>
      </c>
      <c r="AL60" s="1">
        <f t="shared" si="8"/>
        <v>6</v>
      </c>
      <c r="AM60" s="1">
        <f t="shared" si="9"/>
        <v>7</v>
      </c>
      <c r="AN60" s="1" t="s">
        <v>256</v>
      </c>
      <c r="AO60" s="1" t="s">
        <v>248</v>
      </c>
      <c r="AP60" s="1" t="s">
        <v>257</v>
      </c>
    </row>
    <row r="61" spans="1:42" ht="14.5">
      <c r="A61" s="1" t="s">
        <v>261</v>
      </c>
      <c r="B61" s="1" t="s">
        <v>171</v>
      </c>
      <c r="C61" s="1" t="s">
        <v>172</v>
      </c>
      <c r="D61" s="1" t="s">
        <v>38</v>
      </c>
      <c r="E61" s="1" t="s">
        <v>54</v>
      </c>
      <c r="F61" s="1" t="s">
        <v>55</v>
      </c>
      <c r="G61" s="1" t="s">
        <v>51</v>
      </c>
      <c r="H61" s="4">
        <v>46241</v>
      </c>
      <c r="I61" s="4">
        <v>46278</v>
      </c>
      <c r="J61" s="1" t="s">
        <v>48</v>
      </c>
      <c r="K61" s="1" t="s">
        <v>57</v>
      </c>
      <c r="L61" s="1" t="s">
        <v>113</v>
      </c>
      <c r="M61" s="1" t="s">
        <v>104</v>
      </c>
      <c r="N61" s="5">
        <v>216200</v>
      </c>
      <c r="O61" s="5">
        <v>648600</v>
      </c>
      <c r="P61" s="1">
        <v>469929</v>
      </c>
      <c r="Q61" s="1">
        <v>8</v>
      </c>
      <c r="R61" s="1">
        <v>36</v>
      </c>
      <c r="S61" s="1" t="s">
        <v>113</v>
      </c>
      <c r="T61" s="1" t="s">
        <v>104</v>
      </c>
      <c r="U61" s="1" t="s">
        <v>36</v>
      </c>
      <c r="V61" s="1"/>
      <c r="W61" s="1" t="s">
        <v>252</v>
      </c>
      <c r="X61" s="5"/>
      <c r="Y61" s="5"/>
      <c r="Z61" s="1"/>
      <c r="AA61" s="1" t="s">
        <v>115</v>
      </c>
      <c r="AB61" s="1">
        <v>3</v>
      </c>
      <c r="AC61" s="1">
        <v>5</v>
      </c>
      <c r="AD61" s="1">
        <v>0</v>
      </c>
      <c r="AE61" s="1">
        <v>0</v>
      </c>
      <c r="AF61" s="4">
        <v>46249</v>
      </c>
      <c r="AG61" s="4"/>
      <c r="AH61" s="4"/>
      <c r="AI61" s="5" t="str">
        <f t="shared" si="5"/>
        <v/>
      </c>
      <c r="AJ61" s="6" t="str">
        <f t="shared" si="6"/>
        <v/>
      </c>
      <c r="AK61" s="7">
        <f t="shared" si="7"/>
        <v>0</v>
      </c>
      <c r="AL61" s="1">
        <f t="shared" si="8"/>
        <v>8</v>
      </c>
      <c r="AM61" s="1" t="str">
        <f t="shared" si="9"/>
        <v/>
      </c>
      <c r="AN61" s="1" t="s">
        <v>247</v>
      </c>
      <c r="AO61" s="1" t="s">
        <v>248</v>
      </c>
      <c r="AP61" s="1" t="s">
        <v>257</v>
      </c>
    </row>
  </sheetData>
  <conditionalFormatting sqref="K2:K61">
    <cfRule type="containsText" dxfId="21" priority="1" operator="containsText" text="Won"/>
    <cfRule type="containsText" dxfId="20" priority="2" operator="containsText" text="Lost"/>
    <cfRule type="containsText" dxfId="19" priority="3" operator="containsText" text="No-Bid"/>
  </conditionalFormatting>
  <conditionalFormatting sqref="U2:U61">
    <cfRule type="containsText" dxfId="18" priority="4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N42"/>
  <sheetViews>
    <sheetView showGridLines="0" workbookViewId="0">
      <selection activeCell="E3" sqref="E3:F3"/>
    </sheetView>
  </sheetViews>
  <sheetFormatPr defaultRowHeight="14"/>
  <cols>
    <col min="1" max="2" width="12" customWidth="1"/>
    <col min="3" max="4" width="14" customWidth="1"/>
    <col min="5" max="14" width="12" customWidth="1"/>
  </cols>
  <sheetData>
    <row r="1" spans="1:14" ht="34" customHeight="1">
      <c r="A1" s="14" t="s">
        <v>263</v>
      </c>
      <c r="B1" s="14" t="s">
        <v>263</v>
      </c>
      <c r="C1" s="14" t="s">
        <v>263</v>
      </c>
      <c r="D1" s="14" t="s">
        <v>263</v>
      </c>
      <c r="E1" s="14" t="s">
        <v>263</v>
      </c>
      <c r="F1" s="14" t="s">
        <v>263</v>
      </c>
      <c r="G1" s="14" t="s">
        <v>263</v>
      </c>
      <c r="H1" s="14" t="s">
        <v>263</v>
      </c>
      <c r="I1" s="14" t="s">
        <v>263</v>
      </c>
      <c r="J1" s="14" t="s">
        <v>263</v>
      </c>
      <c r="K1" s="14" t="s">
        <v>263</v>
      </c>
      <c r="L1" s="14" t="s">
        <v>263</v>
      </c>
      <c r="M1" s="14" t="s">
        <v>263</v>
      </c>
      <c r="N1" s="14" t="s">
        <v>263</v>
      </c>
    </row>
    <row r="2" spans="1:14" ht="14.5">
      <c r="A2" s="15" t="s">
        <v>264</v>
      </c>
      <c r="B2" s="15" t="s">
        <v>264</v>
      </c>
      <c r="C2" s="15" t="s">
        <v>264</v>
      </c>
      <c r="D2" s="15" t="s">
        <v>264</v>
      </c>
      <c r="E2" s="15" t="s">
        <v>264</v>
      </c>
      <c r="F2" s="15" t="s">
        <v>264</v>
      </c>
      <c r="G2" s="15" t="s">
        <v>264</v>
      </c>
      <c r="H2" s="15" t="s">
        <v>264</v>
      </c>
      <c r="I2" s="15" t="s">
        <v>264</v>
      </c>
      <c r="J2" s="15" t="s">
        <v>264</v>
      </c>
      <c r="K2" s="15" t="s">
        <v>264</v>
      </c>
      <c r="L2" s="15" t="s">
        <v>264</v>
      </c>
      <c r="M2" s="15" t="s">
        <v>264</v>
      </c>
      <c r="N2" s="15" t="s">
        <v>264</v>
      </c>
    </row>
    <row r="3" spans="1:14" ht="14.5">
      <c r="A3" s="16" t="s">
        <v>265</v>
      </c>
      <c r="B3" s="16" t="s">
        <v>265</v>
      </c>
      <c r="C3" s="17" t="s">
        <v>266</v>
      </c>
      <c r="D3" s="18" t="s">
        <v>266</v>
      </c>
      <c r="E3" s="138" t="s">
        <v>317</v>
      </c>
      <c r="F3" s="139"/>
      <c r="G3" s="1"/>
      <c r="H3" s="1"/>
      <c r="I3" s="1"/>
      <c r="J3" s="1"/>
      <c r="K3" s="1"/>
      <c r="L3" s="1"/>
      <c r="M3" s="1"/>
      <c r="N3" s="1"/>
    </row>
    <row r="4" spans="1:14" ht="14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5">
      <c r="A5" s="19" t="s">
        <v>267</v>
      </c>
      <c r="B5" s="20" t="s">
        <v>267</v>
      </c>
      <c r="C5" s="1"/>
      <c r="D5" s="19" t="s">
        <v>268</v>
      </c>
      <c r="E5" s="20" t="s">
        <v>268</v>
      </c>
      <c r="F5" s="1"/>
      <c r="G5" s="19" t="s">
        <v>269</v>
      </c>
      <c r="H5" s="20" t="s">
        <v>269</v>
      </c>
      <c r="I5" s="1"/>
      <c r="J5" s="19" t="s">
        <v>270</v>
      </c>
      <c r="K5" s="20" t="s">
        <v>270</v>
      </c>
      <c r="L5" s="1"/>
      <c r="M5" s="19" t="s">
        <v>271</v>
      </c>
      <c r="N5" s="20" t="s">
        <v>271</v>
      </c>
    </row>
    <row r="6" spans="1:14" ht="14.5">
      <c r="A6" s="52">
        <f>IF($C$3="All Periods",COUNTA('1. Opportunity Register'!$A$2:$A$61),COUNTIF('1. Opportunity Register'!$AP$2:$AP$61,$C$3))</f>
        <v>60</v>
      </c>
      <c r="B6" s="53"/>
      <c r="C6" s="1"/>
      <c r="D6" s="56">
        <f>IF($C$3="All Periods",COUNTIF('1. Opportunity Register'!$M$2:$M$61,"Yes"),COUNTIFS('1. Opportunity Register'!$M$2:$M$61,"Yes",'1. Opportunity Register'!$AP$2:$AP$61,$C$3))</f>
        <v>33</v>
      </c>
      <c r="E6" s="57"/>
      <c r="F6" s="1"/>
      <c r="G6" s="60">
        <f>IF($C$3="All Periods",COUNTIF('1. Opportunity Register'!$K$2:$K$61,"Won"),COUNTIFS('1. Opportunity Register'!$K$2:$K$61,"Won",'1. Opportunity Register'!$AP$2:$AP$61,$C$3))</f>
        <v>3</v>
      </c>
      <c r="H6" s="61"/>
      <c r="I6" s="1"/>
      <c r="J6" s="21">
        <f>IF($C$3="All Periods",COUNTIF('1. Opportunity Register'!$K$2:$K$61,"No-Bid"),COUNTIFS('1. Opportunity Register'!$K$2:$K$61,"No-Bid",'1. Opportunity Register'!$AP$2:$AP$61,$C$3))</f>
        <v>23</v>
      </c>
      <c r="K6" s="22"/>
      <c r="L6" s="1"/>
      <c r="M6" s="25">
        <f>IFERROR(G6/(G6+IF($C$3="All Periods",COUNTIF('1. Opportunity Register'!$K$2:$K$61,"Lost"),COUNTIFS('1. Opportunity Register'!$K$2:$K$61,"Lost",'1. Opportunity Register'!$AP$2:$AP$61,$C$3))),0)</f>
        <v>0.10344827586206896</v>
      </c>
      <c r="N6" s="26"/>
    </row>
    <row r="7" spans="1:14" ht="14.5">
      <c r="A7" s="54"/>
      <c r="B7" s="55"/>
      <c r="C7" s="1"/>
      <c r="D7" s="58"/>
      <c r="E7" s="59"/>
      <c r="F7" s="1"/>
      <c r="G7" s="62"/>
      <c r="H7" s="63"/>
      <c r="I7" s="1"/>
      <c r="J7" s="23"/>
      <c r="K7" s="24"/>
      <c r="L7" s="1"/>
      <c r="M7" s="27"/>
      <c r="N7" s="28"/>
    </row>
    <row r="8" spans="1:14" ht="14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4.5">
      <c r="A9" s="19" t="s">
        <v>272</v>
      </c>
      <c r="B9" s="29" t="s">
        <v>272</v>
      </c>
      <c r="C9" s="20" t="s">
        <v>272</v>
      </c>
      <c r="D9" s="1"/>
      <c r="E9" s="19" t="s">
        <v>273</v>
      </c>
      <c r="F9" s="29" t="s">
        <v>273</v>
      </c>
      <c r="G9" s="20" t="s">
        <v>273</v>
      </c>
      <c r="H9" s="1"/>
      <c r="I9" s="19" t="s">
        <v>274</v>
      </c>
      <c r="J9" s="29" t="s">
        <v>274</v>
      </c>
      <c r="K9" s="20" t="s">
        <v>274</v>
      </c>
      <c r="L9" s="1"/>
      <c r="M9" s="19" t="s">
        <v>275</v>
      </c>
      <c r="N9" s="20" t="s">
        <v>275</v>
      </c>
    </row>
    <row r="10" spans="1:14" ht="14.5">
      <c r="A10" s="30">
        <f>IF($C$3="All Periods",SUM('1. Opportunity Register'!$X$2:$X$61),SUMIFS('1. Opportunity Register'!$X$2:$X$61,'1. Opportunity Register'!$AP$2:$AP$61,$C$3))</f>
        <v>36813700</v>
      </c>
      <c r="B10" s="31"/>
      <c r="C10" s="32"/>
      <c r="D10" s="1"/>
      <c r="E10" s="36">
        <f>IF($C$3="All Periods",SUMIFS('1. Opportunity Register'!$O$2:$O$61,'1. Opportunity Register'!$K$2:$K$61,"In Progress")+SUMIFS('1. Opportunity Register'!$O$2:$O$61,'1. Opportunity Register'!$K$2:$K$61,"Submitted")+SUMIFS('1. Opportunity Register'!$O$2:$O$61,'1. Opportunity Register'!$K$2:$K$61,"Awaiting Award"),SUMIFS('1. Opportunity Register'!$O$2:$O$61,'1. Opportunity Register'!$AP$2:$AP$61,$C$3,'1. Opportunity Register'!$K$2:$K$61,"In Progress")+SUMIFS('1. Opportunity Register'!$O$2:$O$61,'1. Opportunity Register'!$AP$2:$AP$61,$C$3,'1. Opportunity Register'!$K$2:$K$61,"Submitted")+SUMIFS('1. Opportunity Register'!$O$2:$O$61,'1. Opportunity Register'!$AP$2:$AP$61,$C$3,'1. Opportunity Register'!$K$2:$K$61,"Awaiting Award"))</f>
        <v>7538300</v>
      </c>
      <c r="F10" s="37"/>
      <c r="G10" s="38"/>
      <c r="H10" s="1"/>
      <c r="I10" s="42">
        <f>IFERROR(IF($C$3="All Periods",AVERAGEIF('1. Opportunity Register'!$O$2:$O$61,"&gt;0"),SUMIFS('1. Opportunity Register'!$O$2:$O$61,'1. Opportunity Register'!$AP$2:$AP$61,$C$3)/COUNTIF('1. Opportunity Register'!$AP$2:$AP$61,$C$3)),0)</f>
        <v>958906.66666666663</v>
      </c>
      <c r="J10" s="43"/>
      <c r="K10" s="44"/>
      <c r="L10" s="1"/>
      <c r="M10" s="48">
        <f>IF($C$3="All Periods",COUNTIF('1. Opportunity Register'!$K$2:$K$61,"Awaiting Award"),COUNTIFS('1. Opportunity Register'!$K$2:$K$61,"Awaiting Award",'1. Opportunity Register'!$AP$2:$AP$61,$C$3))</f>
        <v>2</v>
      </c>
      <c r="N10" s="49"/>
    </row>
    <row r="11" spans="1:14" ht="14.5">
      <c r="A11" s="33"/>
      <c r="B11" s="34"/>
      <c r="C11" s="35"/>
      <c r="D11" s="1"/>
      <c r="E11" s="39"/>
      <c r="F11" s="40"/>
      <c r="G11" s="41"/>
      <c r="H11" s="1"/>
      <c r="I11" s="45"/>
      <c r="J11" s="46"/>
      <c r="K11" s="47"/>
      <c r="L11" s="1"/>
      <c r="M11" s="50"/>
      <c r="N11" s="51"/>
    </row>
    <row r="12" spans="1:14" ht="14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4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4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4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4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4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.5">
      <c r="A30" s="8" t="s">
        <v>276</v>
      </c>
      <c r="B30" s="8" t="s">
        <v>277</v>
      </c>
      <c r="C30" s="8" t="s">
        <v>47</v>
      </c>
      <c r="D30" s="8" t="s">
        <v>278</v>
      </c>
      <c r="E30" s="8" t="s">
        <v>279</v>
      </c>
      <c r="F30" s="8"/>
      <c r="G30" s="8" t="s">
        <v>15</v>
      </c>
      <c r="H30" s="8" t="s">
        <v>280</v>
      </c>
      <c r="I30" s="1"/>
      <c r="J30" s="1"/>
      <c r="K30" s="1"/>
      <c r="L30" s="1"/>
      <c r="M30" s="1"/>
      <c r="N30" s="1"/>
    </row>
    <row r="31" spans="1:14" ht="14.5">
      <c r="A31" s="8" t="s">
        <v>109</v>
      </c>
      <c r="B31" s="8">
        <f>IF(OR($C$3="All Periods",$C$3=A31),COUNTIF('1. Opportunity Register'!$AP$2:$AP$61,A31),"")</f>
        <v>5</v>
      </c>
      <c r="C31" s="8">
        <f>IF(OR($C$3="All Periods",$C$3=A31),COUNTIFS('1. Opportunity Register'!$M$2:$M$61,"Yes",'1. Opportunity Register'!$AP$2:$AP$61,A31),"")</f>
        <v>2</v>
      </c>
      <c r="D31" s="8">
        <f>IF(OR($C$3="All Periods",$C$3=A31),COUNTIFS('1. Opportunity Register'!$K$2:$K$61,"Won",'1. Opportunity Register'!$AP$2:$AP$61,A31),"")</f>
        <v>0</v>
      </c>
      <c r="E31" s="8">
        <f>IF(OR($C$3="All Periods",$C$3=A31),COUNTIFS('1. Opportunity Register'!$K$2:$K$61,"No-Bid",'1. Opportunity Register'!$AP$2:$AP$61,A31),"")</f>
        <v>3</v>
      </c>
      <c r="F31" s="8"/>
      <c r="G31" s="8" t="s">
        <v>23</v>
      </c>
      <c r="H31" s="8">
        <f>IF($C$3="All Periods",COUNTIF('1. Opportunity Register'!$K$2:$K$61,G31),COUNTIFS('1. Opportunity Register'!$K$2:$K$61,G31,'1. Opportunity Register'!$AP$2:$AP$61,$C$3))</f>
        <v>3</v>
      </c>
      <c r="I31" s="1"/>
      <c r="J31" s="1"/>
      <c r="K31" s="1"/>
      <c r="L31" s="1"/>
      <c r="M31" s="1"/>
      <c r="N31" s="1"/>
    </row>
    <row r="32" spans="1:14" ht="14.5">
      <c r="A32" s="8" t="s">
        <v>133</v>
      </c>
      <c r="B32" s="8">
        <f>IF(OR($C$3="All Periods",$C$3=A32),COUNTIF('1. Opportunity Register'!$AP$2:$AP$61,A32),"")</f>
        <v>5</v>
      </c>
      <c r="C32" s="8">
        <f>IF(OR($C$3="All Periods",$C$3=A32),COUNTIFS('1. Opportunity Register'!$M$2:$M$61,"Yes",'1. Opportunity Register'!$AP$2:$AP$61,A32),"")</f>
        <v>3</v>
      </c>
      <c r="D32" s="8">
        <f>IF(OR($C$3="All Periods",$C$3=A32),COUNTIFS('1. Opportunity Register'!$K$2:$K$61,"Won",'1. Opportunity Register'!$AP$2:$AP$61,A32),"")</f>
        <v>0</v>
      </c>
      <c r="E32" s="8">
        <f>IF(OR($C$3="All Periods",$C$3=A32),COUNTIFS('1. Opportunity Register'!$K$2:$K$61,"No-Bid",'1. Opportunity Register'!$AP$2:$AP$61,A32),"")</f>
        <v>2</v>
      </c>
      <c r="F32" s="8"/>
      <c r="G32" s="8" t="s">
        <v>31</v>
      </c>
      <c r="H32" s="8">
        <f>IF($C$3="All Periods",COUNTIF('1. Opportunity Register'!$K$2:$K$61,G32),COUNTIFS('1. Opportunity Register'!$K$2:$K$61,G32,'1. Opportunity Register'!$AP$2:$AP$61,$C$3))</f>
        <v>26</v>
      </c>
      <c r="I32" s="1"/>
      <c r="J32" s="1"/>
      <c r="K32" s="1"/>
      <c r="L32" s="1"/>
      <c r="M32" s="1"/>
      <c r="N32" s="1"/>
    </row>
    <row r="33" spans="1:14" ht="14.5">
      <c r="A33" s="8" t="s">
        <v>148</v>
      </c>
      <c r="B33" s="8">
        <f>IF(OR($C$3="All Periods",$C$3=A33),COUNTIF('1. Opportunity Register'!$AP$2:$AP$61,A33),"")</f>
        <v>5</v>
      </c>
      <c r="C33" s="8">
        <f>IF(OR($C$3="All Periods",$C$3=A33),COUNTIFS('1. Opportunity Register'!$M$2:$M$61,"Yes",'1. Opportunity Register'!$AP$2:$AP$61,A33),"")</f>
        <v>3</v>
      </c>
      <c r="D33" s="8">
        <f>IF(OR($C$3="All Periods",$C$3=A33),COUNTIFS('1. Opportunity Register'!$K$2:$K$61,"Won",'1. Opportunity Register'!$AP$2:$AP$61,A33),"")</f>
        <v>0</v>
      </c>
      <c r="E33" s="8">
        <f>IF(OR($C$3="All Periods",$C$3=A33),COUNTIFS('1. Opportunity Register'!$K$2:$K$61,"No-Bid",'1. Opportunity Register'!$AP$2:$AP$61,A33),"")</f>
        <v>2</v>
      </c>
      <c r="F33" s="8"/>
      <c r="G33" s="8" t="s">
        <v>53</v>
      </c>
      <c r="H33" s="8">
        <f>IF($C$3="All Periods",COUNTIF('1. Opportunity Register'!$K$2:$K$61,G33),COUNTIFS('1. Opportunity Register'!$K$2:$K$61,G33,'1. Opportunity Register'!$AP$2:$AP$61,$C$3))</f>
        <v>23</v>
      </c>
      <c r="I33" s="1"/>
      <c r="J33" s="1"/>
      <c r="K33" s="1"/>
      <c r="L33" s="1"/>
      <c r="M33" s="1"/>
      <c r="N33" s="1"/>
    </row>
    <row r="34" spans="1:14" ht="14.5">
      <c r="A34" s="8" t="s">
        <v>161</v>
      </c>
      <c r="B34" s="8">
        <f>IF(OR($C$3="All Periods",$C$3=A34),COUNTIF('1. Opportunity Register'!$AP$2:$AP$61,A34),"")</f>
        <v>5</v>
      </c>
      <c r="C34" s="8">
        <f>IF(OR($C$3="All Periods",$C$3=A34),COUNTIFS('1. Opportunity Register'!$M$2:$M$61,"Yes",'1. Opportunity Register'!$AP$2:$AP$61,A34),"")</f>
        <v>3</v>
      </c>
      <c r="D34" s="8">
        <f>IF(OR($C$3="All Periods",$C$3=A34),COUNTIFS('1. Opportunity Register'!$K$2:$K$61,"Won",'1. Opportunity Register'!$AP$2:$AP$61,A34),"")</f>
        <v>0</v>
      </c>
      <c r="E34" s="8">
        <f>IF(OR($C$3="All Periods",$C$3=A34),COUNTIFS('1. Opportunity Register'!$K$2:$K$61,"No-Bid",'1. Opportunity Register'!$AP$2:$AP$61,A34),"")</f>
        <v>2</v>
      </c>
      <c r="F34" s="8"/>
      <c r="G34" s="8" t="s">
        <v>39</v>
      </c>
      <c r="H34" s="8">
        <f>IF($C$3="All Periods",COUNTIF('1. Opportunity Register'!$K$2:$K$61,G34),COUNTIFS('1. Opportunity Register'!$K$2:$K$61,G34,'1. Opportunity Register'!$AP$2:$AP$61,$C$3))</f>
        <v>2</v>
      </c>
      <c r="I34" s="1"/>
      <c r="J34" s="1"/>
      <c r="K34" s="1"/>
      <c r="L34" s="1"/>
      <c r="M34" s="1"/>
      <c r="N34" s="1"/>
    </row>
    <row r="35" spans="1:14" ht="14.5">
      <c r="A35" s="8" t="s">
        <v>175</v>
      </c>
      <c r="B35" s="8">
        <f>IF(OR($C$3="All Periods",$C$3=A35),COUNTIF('1. Opportunity Register'!$AP$2:$AP$61,A35),"")</f>
        <v>5</v>
      </c>
      <c r="C35" s="8">
        <f>IF(OR($C$3="All Periods",$C$3=A35),COUNTIFS('1. Opportunity Register'!$M$2:$M$61,"Yes",'1. Opportunity Register'!$AP$2:$AP$61,A35),"")</f>
        <v>3</v>
      </c>
      <c r="D35" s="8">
        <f>IF(OR($C$3="All Periods",$C$3=A35),COUNTIFS('1. Opportunity Register'!$K$2:$K$61,"Won",'1. Opportunity Register'!$AP$2:$AP$61,A35),"")</f>
        <v>1</v>
      </c>
      <c r="E35" s="8">
        <f>IF(OR($C$3="All Periods",$C$3=A35),COUNTIFS('1. Opportunity Register'!$K$2:$K$61,"No-Bid",'1. Opportunity Register'!$AP$2:$AP$61,A35),"")</f>
        <v>2</v>
      </c>
      <c r="F35" s="8"/>
      <c r="G35" s="8" t="s">
        <v>47</v>
      </c>
      <c r="H35" s="8">
        <f>IF($C$3="All Periods",COUNTIF('1. Opportunity Register'!$K$2:$K$61,G35),COUNTIFS('1. Opportunity Register'!$K$2:$K$61,G35,'1. Opportunity Register'!$AP$2:$AP$61,$C$3))</f>
        <v>2</v>
      </c>
      <c r="I35" s="1"/>
      <c r="J35" s="1"/>
      <c r="K35" s="1"/>
      <c r="L35" s="1"/>
      <c r="M35" s="1"/>
      <c r="N35" s="1"/>
    </row>
    <row r="36" spans="1:14" ht="14.5">
      <c r="A36" s="8" t="s">
        <v>191</v>
      </c>
      <c r="B36" s="8">
        <f>IF(OR($C$3="All Periods",$C$3=A36),COUNTIF('1. Opportunity Register'!$AP$2:$AP$61,A36),"")</f>
        <v>5</v>
      </c>
      <c r="C36" s="8">
        <f>IF(OR($C$3="All Periods",$C$3=A36),COUNTIFS('1. Opportunity Register'!$M$2:$M$61,"Yes",'1. Opportunity Register'!$AP$2:$AP$61,A36),"")</f>
        <v>3</v>
      </c>
      <c r="D36" s="8">
        <f>IF(OR($C$3="All Periods",$C$3=A36),COUNTIFS('1. Opportunity Register'!$K$2:$K$61,"Won",'1. Opportunity Register'!$AP$2:$AP$61,A36),"")</f>
        <v>1</v>
      </c>
      <c r="E36" s="8">
        <f>IF(OR($C$3="All Periods",$C$3=A36),COUNTIFS('1. Opportunity Register'!$K$2:$K$61,"No-Bid",'1. Opportunity Register'!$AP$2:$AP$61,A36),"")</f>
        <v>2</v>
      </c>
      <c r="F36" s="8"/>
      <c r="G36" s="8" t="s">
        <v>57</v>
      </c>
      <c r="H36" s="8">
        <f>IF($C$3="All Periods",COUNTIF('1. Opportunity Register'!$K$2:$K$61,G36),COUNTIFS('1. Opportunity Register'!$K$2:$K$61,G36,'1. Opportunity Register'!$AP$2:$AP$61,$C$3))</f>
        <v>4</v>
      </c>
      <c r="I36" s="1"/>
      <c r="J36" s="1"/>
      <c r="K36" s="1"/>
      <c r="L36" s="1"/>
      <c r="M36" s="1"/>
      <c r="N36" s="1"/>
    </row>
    <row r="37" spans="1:14" ht="14.5">
      <c r="A37" s="8" t="s">
        <v>205</v>
      </c>
      <c r="B37" s="8">
        <f>IF(OR($C$3="All Periods",$C$3=A37),COUNTIF('1. Opportunity Register'!$AP$2:$AP$61,A37),"")</f>
        <v>5</v>
      </c>
      <c r="C37" s="8">
        <f>IF(OR($C$3="All Periods",$C$3=A37),COUNTIFS('1. Opportunity Register'!$M$2:$M$61,"Yes",'1. Opportunity Register'!$AP$2:$AP$61,A37),"")</f>
        <v>2</v>
      </c>
      <c r="D37" s="8">
        <f>IF(OR($C$3="All Periods",$C$3=A37),COUNTIFS('1. Opportunity Register'!$K$2:$K$61,"Won",'1. Opportunity Register'!$AP$2:$AP$61,A37),"")</f>
        <v>1</v>
      </c>
      <c r="E37" s="8">
        <f>IF(OR($C$3="All Periods",$C$3=A37),COUNTIFS('1. Opportunity Register'!$K$2:$K$61,"No-Bid",'1. Opportunity Register'!$AP$2:$AP$61,A37),"")</f>
        <v>3</v>
      </c>
      <c r="F37" s="8"/>
      <c r="G37" s="8"/>
      <c r="H37" s="8"/>
      <c r="I37" s="1"/>
      <c r="J37" s="1"/>
      <c r="K37" s="1"/>
      <c r="L37" s="1"/>
      <c r="M37" s="1"/>
      <c r="N37" s="1"/>
    </row>
    <row r="38" spans="1:14" ht="14.5">
      <c r="A38" s="8" t="s">
        <v>218</v>
      </c>
      <c r="B38" s="8">
        <f>IF(OR($C$3="All Periods",$C$3=A38),COUNTIF('1. Opportunity Register'!$AP$2:$AP$61,A38),"")</f>
        <v>5</v>
      </c>
      <c r="C38" s="8">
        <f>IF(OR($C$3="All Periods",$C$3=A38),COUNTIFS('1. Opportunity Register'!$M$2:$M$61,"Yes",'1. Opportunity Register'!$AP$2:$AP$61,A38),"")</f>
        <v>4</v>
      </c>
      <c r="D38" s="8">
        <f>IF(OR($C$3="All Periods",$C$3=A38),COUNTIFS('1. Opportunity Register'!$K$2:$K$61,"Won",'1. Opportunity Register'!$AP$2:$AP$61,A38),"")</f>
        <v>0</v>
      </c>
      <c r="E38" s="8">
        <f>IF(OR($C$3="All Periods",$C$3=A38),COUNTIFS('1. Opportunity Register'!$K$2:$K$61,"No-Bid",'1. Opportunity Register'!$AP$2:$AP$61,A38),"")</f>
        <v>1</v>
      </c>
      <c r="F38" s="8"/>
      <c r="G38" s="8"/>
      <c r="H38" s="8"/>
      <c r="I38" s="1"/>
      <c r="J38" s="1"/>
      <c r="K38" s="1"/>
      <c r="L38" s="1"/>
      <c r="M38" s="1"/>
      <c r="N38" s="1"/>
    </row>
    <row r="39" spans="1:14" ht="14.5">
      <c r="A39" s="8" t="s">
        <v>229</v>
      </c>
      <c r="B39" s="8">
        <f>IF(OR($C$3="All Periods",$C$3=A39),COUNTIF('1. Opportunity Register'!$AP$2:$AP$61,A39),"")</f>
        <v>5</v>
      </c>
      <c r="C39" s="8">
        <f>IF(OR($C$3="All Periods",$C$3=A39),COUNTIFS('1. Opportunity Register'!$M$2:$M$61,"Yes",'1. Opportunity Register'!$AP$2:$AP$61,A39),"")</f>
        <v>2</v>
      </c>
      <c r="D39" s="8">
        <f>IF(OR($C$3="All Periods",$C$3=A39),COUNTIFS('1. Opportunity Register'!$K$2:$K$61,"Won",'1. Opportunity Register'!$AP$2:$AP$61,A39),"")</f>
        <v>0</v>
      </c>
      <c r="E39" s="8">
        <f>IF(OR($C$3="All Periods",$C$3=A39),COUNTIFS('1. Opportunity Register'!$K$2:$K$61,"No-Bid",'1. Opportunity Register'!$AP$2:$AP$61,A39),"")</f>
        <v>3</v>
      </c>
      <c r="F39" s="8"/>
      <c r="G39" s="8"/>
      <c r="H39" s="8"/>
      <c r="I39" s="1"/>
      <c r="J39" s="1"/>
      <c r="K39" s="1"/>
      <c r="L39" s="1"/>
      <c r="M39" s="1"/>
      <c r="N39" s="1"/>
    </row>
    <row r="40" spans="1:14" ht="14.5">
      <c r="A40" s="8" t="s">
        <v>236</v>
      </c>
      <c r="B40" s="8">
        <f>IF(OR($C$3="All Periods",$C$3=A40),COUNTIF('1. Opportunity Register'!$AP$2:$AP$61,A40),"")</f>
        <v>5</v>
      </c>
      <c r="C40" s="8">
        <f>IF(OR($C$3="All Periods",$C$3=A40),COUNTIFS('1. Opportunity Register'!$M$2:$M$61,"Yes",'1. Opportunity Register'!$AP$2:$AP$61,A40),"")</f>
        <v>3</v>
      </c>
      <c r="D40" s="8">
        <f>IF(OR($C$3="All Periods",$C$3=A40),COUNTIFS('1. Opportunity Register'!$K$2:$K$61,"Won",'1. Opportunity Register'!$AP$2:$AP$61,A40),"")</f>
        <v>0</v>
      </c>
      <c r="E40" s="8">
        <f>IF(OR($C$3="All Periods",$C$3=A40),COUNTIFS('1. Opportunity Register'!$K$2:$K$61,"No-Bid",'1. Opportunity Register'!$AP$2:$AP$61,A40),"")</f>
        <v>2</v>
      </c>
      <c r="F40" s="8"/>
      <c r="G40" s="8"/>
      <c r="H40" s="8"/>
      <c r="I40" s="1"/>
      <c r="J40" s="1"/>
      <c r="K40" s="1"/>
      <c r="L40" s="1"/>
      <c r="M40" s="1"/>
      <c r="N40" s="1"/>
    </row>
    <row r="41" spans="1:14" ht="14.5">
      <c r="A41" s="8" t="s">
        <v>242</v>
      </c>
      <c r="B41" s="8">
        <f>IF(OR($C$3="All Periods",$C$3=A41),COUNTIF('1. Opportunity Register'!$AP$2:$AP$61,A41),"")</f>
        <v>5</v>
      </c>
      <c r="C41" s="8">
        <f>IF(OR($C$3="All Periods",$C$3=A41),COUNTIFS('1. Opportunity Register'!$M$2:$M$61,"Yes",'1. Opportunity Register'!$AP$2:$AP$61,A41),"")</f>
        <v>2</v>
      </c>
      <c r="D41" s="8">
        <f>IF(OR($C$3="All Periods",$C$3=A41),COUNTIFS('1. Opportunity Register'!$K$2:$K$61,"Won",'1. Opportunity Register'!$AP$2:$AP$61,A41),"")</f>
        <v>0</v>
      </c>
      <c r="E41" s="8">
        <f>IF(OR($C$3="All Periods",$C$3=A41),COUNTIFS('1. Opportunity Register'!$K$2:$K$61,"No-Bid",'1. Opportunity Register'!$AP$2:$AP$61,A41),"")</f>
        <v>1</v>
      </c>
      <c r="F41" s="8"/>
      <c r="G41" s="8"/>
      <c r="H41" s="8"/>
      <c r="I41" s="1"/>
      <c r="J41" s="1"/>
      <c r="K41" s="1"/>
      <c r="L41" s="1"/>
      <c r="M41" s="1"/>
      <c r="N41" s="1"/>
    </row>
    <row r="42" spans="1:14" ht="14.5">
      <c r="A42" s="8" t="s">
        <v>257</v>
      </c>
      <c r="B42" s="8">
        <f>IF(OR($C$3="All Periods",$C$3=A42),COUNTIF('1. Opportunity Register'!$AP$2:$AP$61,A42),"")</f>
        <v>5</v>
      </c>
      <c r="C42" s="8">
        <f>IF(OR($C$3="All Periods",$C$3=A42),COUNTIFS('1. Opportunity Register'!$M$2:$M$61,"Yes",'1. Opportunity Register'!$AP$2:$AP$61,A42),"")</f>
        <v>3</v>
      </c>
      <c r="D42" s="8">
        <f>IF(OR($C$3="All Periods",$C$3=A42),COUNTIFS('1. Opportunity Register'!$K$2:$K$61,"Won",'1. Opportunity Register'!$AP$2:$AP$61,A42),"")</f>
        <v>0</v>
      </c>
      <c r="E42" s="8">
        <f>IF(OR($C$3="All Periods",$C$3=A42),COUNTIFS('1. Opportunity Register'!$K$2:$K$61,"No-Bid",'1. Opportunity Register'!$AP$2:$AP$61,A42),"")</f>
        <v>0</v>
      </c>
      <c r="F42" s="8"/>
      <c r="G42" s="8"/>
      <c r="H42" s="8"/>
      <c r="I42" s="1"/>
      <c r="J42" s="1"/>
      <c r="K42" s="1"/>
      <c r="L42" s="1"/>
      <c r="M42" s="1"/>
      <c r="N42" s="1"/>
    </row>
  </sheetData>
  <mergeCells count="23">
    <mergeCell ref="J6:K7"/>
    <mergeCell ref="M5:N5"/>
    <mergeCell ref="M6:N7"/>
    <mergeCell ref="A9:C9"/>
    <mergeCell ref="A10:C11"/>
    <mergeCell ref="E9:G9"/>
    <mergeCell ref="E10:G11"/>
    <mergeCell ref="I9:K9"/>
    <mergeCell ref="I10:K11"/>
    <mergeCell ref="M9:N9"/>
    <mergeCell ref="M10:N11"/>
    <mergeCell ref="A6:B7"/>
    <mergeCell ref="D5:E5"/>
    <mergeCell ref="D6:E7"/>
    <mergeCell ref="G5:H5"/>
    <mergeCell ref="G6:H7"/>
    <mergeCell ref="A1:N1"/>
    <mergeCell ref="A2:N2"/>
    <mergeCell ref="A3:B3"/>
    <mergeCell ref="C3:D3"/>
    <mergeCell ref="A5:B5"/>
    <mergeCell ref="J5:K5"/>
    <mergeCell ref="E3:F3"/>
  </mergeCells>
  <dataValidations count="1">
    <dataValidation type="list" sqref="C3" xr:uid="{00000000-0002-0000-0400-000000000000}">
      <formula1>"All Periods,Sep 2025,Oct 2025,Nov 2025,Dec 2025,Jan 2026,Feb 2026,Mar 2026,Apr 2026,May 2026,Jun 2026,Jul 2026,Aug 2026"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79998168889431442"/>
  </sheetPr>
  <dimension ref="A1:N20"/>
  <sheetViews>
    <sheetView showGridLines="0" workbookViewId="0">
      <selection activeCell="B2" sqref="B2"/>
    </sheetView>
  </sheetViews>
  <sheetFormatPr defaultRowHeight="14"/>
  <cols>
    <col min="1" max="1" width="15" customWidth="1"/>
    <col min="2" max="2" width="42" customWidth="1"/>
    <col min="3" max="3" width="25" customWidth="1"/>
    <col min="4" max="13" width="15" customWidth="1"/>
    <col min="14" max="14" width="28" customWidth="1"/>
  </cols>
  <sheetData>
    <row r="1" spans="1:14" ht="34" customHeight="1">
      <c r="A1" s="14" t="s">
        <v>281</v>
      </c>
      <c r="B1" s="14" t="s">
        <v>281</v>
      </c>
      <c r="C1" s="14" t="s">
        <v>281</v>
      </c>
      <c r="D1" s="14" t="s">
        <v>281</v>
      </c>
      <c r="E1" s="14" t="s">
        <v>281</v>
      </c>
      <c r="F1" s="14" t="s">
        <v>281</v>
      </c>
      <c r="G1" s="14" t="s">
        <v>281</v>
      </c>
      <c r="H1" s="14" t="s">
        <v>281</v>
      </c>
      <c r="I1" s="14" t="s">
        <v>281</v>
      </c>
      <c r="J1" s="14" t="s">
        <v>281</v>
      </c>
      <c r="K1" s="14" t="s">
        <v>281</v>
      </c>
      <c r="L1" s="14" t="s">
        <v>281</v>
      </c>
      <c r="M1" s="14" t="s">
        <v>281</v>
      </c>
      <c r="N1" s="14" t="s">
        <v>281</v>
      </c>
    </row>
    <row r="2" spans="1:14" ht="14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5">
      <c r="A3" s="9" t="s">
        <v>65</v>
      </c>
      <c r="B3" s="9" t="s">
        <v>66</v>
      </c>
      <c r="C3" s="9" t="s">
        <v>67</v>
      </c>
      <c r="D3" s="9" t="s">
        <v>17</v>
      </c>
      <c r="E3" s="9" t="s">
        <v>18</v>
      </c>
      <c r="F3" s="9" t="s">
        <v>69</v>
      </c>
      <c r="G3" s="9" t="s">
        <v>16</v>
      </c>
      <c r="H3" s="9" t="s">
        <v>74</v>
      </c>
      <c r="I3" s="9" t="s">
        <v>282</v>
      </c>
      <c r="J3" s="9" t="s">
        <v>283</v>
      </c>
      <c r="K3" s="9" t="s">
        <v>284</v>
      </c>
      <c r="L3" s="9" t="s">
        <v>19</v>
      </c>
      <c r="M3" s="9" t="s">
        <v>20</v>
      </c>
      <c r="N3" s="9" t="s">
        <v>98</v>
      </c>
    </row>
    <row r="4" spans="1:14" ht="14.5">
      <c r="A4" s="1" t="s">
        <v>245</v>
      </c>
      <c r="B4" s="1" t="s">
        <v>246</v>
      </c>
      <c r="C4" s="1" t="s">
        <v>144</v>
      </c>
      <c r="D4" s="1" t="s">
        <v>41</v>
      </c>
      <c r="E4" s="1" t="s">
        <v>55</v>
      </c>
      <c r="F4" s="4">
        <v>46251</v>
      </c>
      <c r="G4" s="1" t="s">
        <v>40</v>
      </c>
      <c r="H4" s="5">
        <v>2125800</v>
      </c>
      <c r="I4" s="1">
        <v>204412</v>
      </c>
      <c r="J4" s="1">
        <v>1</v>
      </c>
      <c r="K4" s="1" t="s">
        <v>113</v>
      </c>
      <c r="L4" s="1" t="s">
        <v>27</v>
      </c>
      <c r="M4" s="1" t="s">
        <v>44</v>
      </c>
      <c r="N4" s="1" t="s">
        <v>247</v>
      </c>
    </row>
    <row r="5" spans="1:14" ht="14.5">
      <c r="A5" s="1" t="s">
        <v>249</v>
      </c>
      <c r="B5" s="1" t="s">
        <v>250</v>
      </c>
      <c r="C5" s="1" t="s">
        <v>115</v>
      </c>
      <c r="D5" s="1" t="s">
        <v>33</v>
      </c>
      <c r="E5" s="1" t="s">
        <v>34</v>
      </c>
      <c r="F5" s="4">
        <v>46253</v>
      </c>
      <c r="G5" s="1" t="s">
        <v>48</v>
      </c>
      <c r="H5" s="5">
        <v>1854000</v>
      </c>
      <c r="I5" s="1">
        <v>242343</v>
      </c>
      <c r="J5" s="1">
        <v>8</v>
      </c>
      <c r="K5" s="1" t="s">
        <v>113</v>
      </c>
      <c r="L5" s="1" t="s">
        <v>35</v>
      </c>
      <c r="M5" s="1" t="s">
        <v>28</v>
      </c>
      <c r="N5" s="1" t="s">
        <v>247</v>
      </c>
    </row>
    <row r="6" spans="1:14" ht="14.5">
      <c r="A6" s="1" t="s">
        <v>251</v>
      </c>
      <c r="B6" s="1" t="s">
        <v>157</v>
      </c>
      <c r="C6" s="1" t="s">
        <v>158</v>
      </c>
      <c r="D6" s="1" t="s">
        <v>54</v>
      </c>
      <c r="E6" s="1" t="s">
        <v>55</v>
      </c>
      <c r="F6" s="4">
        <v>46237</v>
      </c>
      <c r="G6" s="1" t="s">
        <v>47</v>
      </c>
      <c r="H6" s="5">
        <v>128900</v>
      </c>
      <c r="I6" s="1">
        <v>280274</v>
      </c>
      <c r="J6" s="1">
        <v>1</v>
      </c>
      <c r="K6" s="1" t="s">
        <v>104</v>
      </c>
      <c r="L6" s="1" t="s">
        <v>43</v>
      </c>
      <c r="M6" s="1" t="s">
        <v>36</v>
      </c>
      <c r="N6" s="1" t="s">
        <v>253</v>
      </c>
    </row>
    <row r="7" spans="1:14" ht="14.5">
      <c r="A7" s="1" t="s">
        <v>254</v>
      </c>
      <c r="B7" s="1" t="s">
        <v>255</v>
      </c>
      <c r="C7" s="1" t="s">
        <v>144</v>
      </c>
      <c r="D7" s="1" t="s">
        <v>64</v>
      </c>
      <c r="E7" s="1" t="s">
        <v>34</v>
      </c>
      <c r="F7" s="4">
        <v>46270</v>
      </c>
      <c r="G7" s="1" t="s">
        <v>39</v>
      </c>
      <c r="H7" s="5">
        <v>216400</v>
      </c>
      <c r="I7" s="1">
        <v>318205</v>
      </c>
      <c r="J7" s="1">
        <v>8</v>
      </c>
      <c r="K7" s="1" t="s">
        <v>113</v>
      </c>
      <c r="L7" s="1" t="s">
        <v>51</v>
      </c>
      <c r="M7" s="1" t="s">
        <v>28</v>
      </c>
      <c r="N7" s="1" t="s">
        <v>256</v>
      </c>
    </row>
    <row r="8" spans="1:14" ht="14.5">
      <c r="A8" s="1" t="s">
        <v>258</v>
      </c>
      <c r="B8" s="1" t="s">
        <v>163</v>
      </c>
      <c r="C8" s="1" t="s">
        <v>115</v>
      </c>
      <c r="D8" s="1" t="s">
        <v>49</v>
      </c>
      <c r="E8" s="1" t="s">
        <v>50</v>
      </c>
      <c r="F8" s="4">
        <v>46272</v>
      </c>
      <c r="G8" s="1" t="s">
        <v>48</v>
      </c>
      <c r="H8" s="5">
        <v>54000</v>
      </c>
      <c r="I8" s="1"/>
      <c r="J8" s="1">
        <v>1</v>
      </c>
      <c r="K8" s="1" t="s">
        <v>113</v>
      </c>
      <c r="L8" s="1" t="s">
        <v>27</v>
      </c>
      <c r="M8" s="1" t="s">
        <v>28</v>
      </c>
      <c r="N8" s="1" t="s">
        <v>247</v>
      </c>
    </row>
    <row r="9" spans="1:14" ht="14.5">
      <c r="A9" s="1" t="s">
        <v>259</v>
      </c>
      <c r="B9" s="1" t="s">
        <v>166</v>
      </c>
      <c r="C9" s="1" t="s">
        <v>158</v>
      </c>
      <c r="D9" s="1" t="s">
        <v>61</v>
      </c>
      <c r="E9" s="1" t="s">
        <v>26</v>
      </c>
      <c r="F9" s="4">
        <v>46274</v>
      </c>
      <c r="G9" s="1" t="s">
        <v>47</v>
      </c>
      <c r="H9" s="5">
        <v>307400</v>
      </c>
      <c r="I9" s="1">
        <v>394067</v>
      </c>
      <c r="J9" s="1">
        <v>8</v>
      </c>
      <c r="K9" s="1" t="s">
        <v>104</v>
      </c>
      <c r="L9" s="1" t="s">
        <v>35</v>
      </c>
      <c r="M9" s="1" t="s">
        <v>28</v>
      </c>
      <c r="N9" s="1" t="s">
        <v>253</v>
      </c>
    </row>
    <row r="10" spans="1:14" ht="14.5">
      <c r="A10" s="1" t="s">
        <v>260</v>
      </c>
      <c r="B10" s="1" t="s">
        <v>168</v>
      </c>
      <c r="C10" s="1" t="s">
        <v>169</v>
      </c>
      <c r="D10" s="1" t="s">
        <v>33</v>
      </c>
      <c r="E10" s="1" t="s">
        <v>42</v>
      </c>
      <c r="F10" s="4">
        <v>46276</v>
      </c>
      <c r="G10" s="1" t="s">
        <v>39</v>
      </c>
      <c r="H10" s="5">
        <v>2203200</v>
      </c>
      <c r="I10" s="1">
        <v>431998</v>
      </c>
      <c r="J10" s="1">
        <v>1</v>
      </c>
      <c r="K10" s="1" t="s">
        <v>113</v>
      </c>
      <c r="L10" s="1" t="s">
        <v>43</v>
      </c>
      <c r="M10" s="1" t="s">
        <v>28</v>
      </c>
      <c r="N10" s="1" t="s">
        <v>256</v>
      </c>
    </row>
    <row r="11" spans="1:14" ht="14.5">
      <c r="A11" s="1" t="s">
        <v>261</v>
      </c>
      <c r="B11" s="1" t="s">
        <v>171</v>
      </c>
      <c r="C11" s="1" t="s">
        <v>172</v>
      </c>
      <c r="D11" s="1" t="s">
        <v>54</v>
      </c>
      <c r="E11" s="1" t="s">
        <v>55</v>
      </c>
      <c r="F11" s="4">
        <v>46278</v>
      </c>
      <c r="G11" s="1" t="s">
        <v>48</v>
      </c>
      <c r="H11" s="5">
        <v>648600</v>
      </c>
      <c r="I11" s="1">
        <v>469929</v>
      </c>
      <c r="J11" s="1">
        <v>8</v>
      </c>
      <c r="K11" s="1" t="s">
        <v>113</v>
      </c>
      <c r="L11" s="1" t="s">
        <v>51</v>
      </c>
      <c r="M11" s="1" t="s">
        <v>36</v>
      </c>
      <c r="N11" s="1" t="s">
        <v>247</v>
      </c>
    </row>
    <row r="12" spans="1:14" ht="14.5">
      <c r="A12" s="1"/>
      <c r="B12" s="1"/>
      <c r="C12" s="1"/>
      <c r="D12" s="1"/>
      <c r="E12" s="1"/>
      <c r="F12" s="4"/>
      <c r="G12" s="1"/>
      <c r="H12" s="5"/>
      <c r="I12" s="1"/>
      <c r="J12" s="1"/>
      <c r="K12" s="1"/>
      <c r="L12" s="1"/>
      <c r="M12" s="1"/>
      <c r="N12" s="1"/>
    </row>
    <row r="13" spans="1:14" ht="14.5">
      <c r="A13" s="1"/>
      <c r="B13" s="1"/>
      <c r="C13" s="1"/>
      <c r="D13" s="1"/>
      <c r="E13" s="1"/>
      <c r="F13" s="4"/>
      <c r="G13" s="1"/>
      <c r="H13" s="5"/>
      <c r="I13" s="1"/>
      <c r="J13" s="1"/>
      <c r="K13" s="1"/>
      <c r="L13" s="1"/>
      <c r="M13" s="1"/>
      <c r="N13" s="1"/>
    </row>
    <row r="14" spans="1:14" ht="14.5">
      <c r="A14" s="1"/>
      <c r="B14" s="1"/>
      <c r="C14" s="1"/>
      <c r="D14" s="1"/>
      <c r="E14" s="1"/>
      <c r="F14" s="4"/>
      <c r="G14" s="1"/>
      <c r="H14" s="5"/>
      <c r="I14" s="1"/>
      <c r="J14" s="1"/>
      <c r="K14" s="1"/>
      <c r="L14" s="1"/>
      <c r="M14" s="1"/>
      <c r="N14" s="1"/>
    </row>
    <row r="15" spans="1:14" ht="14.5">
      <c r="A15" s="1"/>
      <c r="B15" s="1"/>
      <c r="C15" s="1"/>
      <c r="D15" s="1"/>
      <c r="E15" s="1"/>
      <c r="F15" s="4"/>
      <c r="G15" s="1"/>
      <c r="H15" s="5"/>
      <c r="I15" s="1"/>
      <c r="J15" s="1"/>
      <c r="K15" s="1"/>
      <c r="L15" s="1"/>
      <c r="M15" s="1"/>
      <c r="N15" s="1"/>
    </row>
    <row r="16" spans="1:14" ht="14.5">
      <c r="A16" s="1"/>
      <c r="B16" s="1"/>
      <c r="C16" s="1"/>
      <c r="D16" s="1"/>
      <c r="E16" s="1"/>
      <c r="F16" s="4"/>
      <c r="G16" s="1"/>
      <c r="H16" s="5"/>
      <c r="I16" s="1"/>
      <c r="J16" s="1"/>
      <c r="K16" s="1"/>
      <c r="L16" s="1"/>
      <c r="M16" s="1"/>
      <c r="N16" s="1"/>
    </row>
    <row r="17" spans="1:14" ht="14.5">
      <c r="A17" s="1"/>
      <c r="B17" s="1"/>
      <c r="C17" s="1"/>
      <c r="D17" s="1"/>
      <c r="E17" s="1"/>
      <c r="F17" s="4"/>
      <c r="G17" s="1"/>
      <c r="H17" s="5"/>
      <c r="I17" s="1"/>
      <c r="J17" s="1"/>
      <c r="K17" s="1"/>
      <c r="L17" s="1"/>
      <c r="M17" s="1"/>
      <c r="N17" s="1"/>
    </row>
    <row r="18" spans="1:14" ht="14.5">
      <c r="A18" s="1"/>
      <c r="B18" s="1"/>
      <c r="C18" s="1"/>
      <c r="D18" s="1"/>
      <c r="E18" s="1"/>
      <c r="F18" s="4"/>
      <c r="G18" s="1"/>
      <c r="H18" s="5"/>
      <c r="I18" s="1"/>
      <c r="J18" s="1"/>
      <c r="K18" s="1"/>
      <c r="L18" s="1"/>
      <c r="M18" s="1"/>
      <c r="N18" s="1"/>
    </row>
    <row r="19" spans="1:14" ht="14.5">
      <c r="A19" s="1"/>
      <c r="B19" s="1"/>
      <c r="C19" s="1"/>
      <c r="D19" s="1"/>
      <c r="E19" s="1"/>
      <c r="F19" s="4"/>
      <c r="G19" s="1"/>
      <c r="H19" s="5"/>
      <c r="I19" s="1"/>
      <c r="J19" s="1"/>
      <c r="K19" s="1"/>
      <c r="L19" s="1"/>
      <c r="M19" s="1"/>
      <c r="N19" s="1"/>
    </row>
    <row r="20" spans="1:14" ht="14.5">
      <c r="A20" s="1"/>
      <c r="B20" s="1"/>
      <c r="C20" s="1"/>
      <c r="D20" s="1"/>
      <c r="E20" s="1"/>
      <c r="F20" s="4"/>
      <c r="G20" s="1"/>
      <c r="H20" s="5"/>
      <c r="I20" s="1"/>
      <c r="J20" s="1"/>
      <c r="K20" s="1"/>
      <c r="L20" s="1"/>
      <c r="M20" s="1"/>
      <c r="N20" s="1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98168889431442"/>
  </sheetPr>
  <dimension ref="A1:N61"/>
  <sheetViews>
    <sheetView showGridLines="0" tabSelected="1" workbookViewId="0">
      <selection activeCell="C2" sqref="C2:D2"/>
    </sheetView>
  </sheetViews>
  <sheetFormatPr defaultRowHeight="14"/>
  <cols>
    <col min="1" max="1" width="42" customWidth="1"/>
    <col min="2" max="6" width="14" customWidth="1"/>
    <col min="7" max="7" width="55" customWidth="1"/>
    <col min="8" max="14" width="14" customWidth="1"/>
  </cols>
  <sheetData>
    <row r="1" spans="1:14" ht="34" customHeight="1">
      <c r="A1" s="14" t="s">
        <v>285</v>
      </c>
      <c r="B1" s="14" t="s">
        <v>285</v>
      </c>
      <c r="C1" s="14" t="s">
        <v>285</v>
      </c>
      <c r="D1" s="14" t="s">
        <v>285</v>
      </c>
      <c r="E1" s="14" t="s">
        <v>285</v>
      </c>
      <c r="F1" s="14" t="s">
        <v>285</v>
      </c>
      <c r="G1" s="14" t="s">
        <v>285</v>
      </c>
      <c r="H1" s="14" t="s">
        <v>285</v>
      </c>
      <c r="I1" s="14" t="s">
        <v>285</v>
      </c>
      <c r="J1" s="14" t="s">
        <v>285</v>
      </c>
      <c r="K1" s="14" t="s">
        <v>285</v>
      </c>
      <c r="L1" s="14" t="s">
        <v>285</v>
      </c>
      <c r="M1" s="14" t="s">
        <v>285</v>
      </c>
      <c r="N1" s="14" t="s">
        <v>285</v>
      </c>
    </row>
    <row r="2" spans="1:14" ht="14.5">
      <c r="A2" s="16" t="s">
        <v>265</v>
      </c>
      <c r="B2" s="16" t="s">
        <v>265</v>
      </c>
      <c r="C2" s="17" t="s">
        <v>266</v>
      </c>
      <c r="D2" s="18" t="s">
        <v>266</v>
      </c>
      <c r="E2" s="138" t="s">
        <v>317</v>
      </c>
      <c r="F2" s="139"/>
      <c r="G2" s="1"/>
      <c r="H2" s="1"/>
      <c r="I2" s="1"/>
      <c r="J2" s="1"/>
      <c r="K2" s="1"/>
      <c r="L2" s="1"/>
      <c r="M2" s="1"/>
      <c r="N2" s="1"/>
    </row>
    <row r="3" spans="1:14" ht="14.5">
      <c r="A3" s="19" t="s">
        <v>286</v>
      </c>
      <c r="B3" s="29" t="s">
        <v>286</v>
      </c>
      <c r="C3" s="20" t="s">
        <v>286</v>
      </c>
      <c r="D3" s="1"/>
      <c r="E3" s="19" t="s">
        <v>287</v>
      </c>
      <c r="F3" s="29" t="s">
        <v>287</v>
      </c>
      <c r="G3" s="20" t="s">
        <v>287</v>
      </c>
      <c r="H3" s="1"/>
      <c r="I3" s="19" t="s">
        <v>288</v>
      </c>
      <c r="J3" s="29" t="s">
        <v>288</v>
      </c>
      <c r="K3" s="20" t="s">
        <v>288</v>
      </c>
      <c r="L3" s="1"/>
      <c r="M3" s="19" t="s">
        <v>289</v>
      </c>
      <c r="N3" s="20" t="s">
        <v>289</v>
      </c>
    </row>
    <row r="4" spans="1:14" ht="14.5">
      <c r="A4" s="21">
        <f>IF($C$2="All Periods",COUNTIF('1. Opportunity Register'!$K$2:$K$61,"No-Bid"),COUNTIFS('1. Opportunity Register'!$K$2:$K$61,"No-Bid",'1. Opportunity Register'!$AP$2:$AP$61,$C$2))</f>
        <v>23</v>
      </c>
      <c r="B4" s="75"/>
      <c r="C4" s="22"/>
      <c r="D4" s="1"/>
      <c r="E4" s="77">
        <f>IFERROR(A4/IF($C$2="All Periods",COUNTA('1. Opportunity Register'!$A$2:$A$61),COUNTIF('1. Opportunity Register'!$AP$2:$AP$61,$C$2)),0)</f>
        <v>0.38333333333333336</v>
      </c>
      <c r="F4" s="78"/>
      <c r="G4" s="79"/>
      <c r="H4" s="1"/>
      <c r="I4" s="83">
        <f>IF($C$2="All Periods",SUMIFS('1. Opportunity Register'!$O$2:$O$61,'1. Opportunity Register'!$K$2:$K$61,"No-Bid"),SUMIFS('1. Opportunity Register'!$O$2:$O$61,'1. Opportunity Register'!$K$2:$K$61,"No-Bid",'1. Opportunity Register'!$AP$2:$AP$61,$C$2))</f>
        <v>16038300</v>
      </c>
      <c r="J4" s="84"/>
      <c r="K4" s="85"/>
      <c r="L4" s="1"/>
      <c r="M4" s="89">
        <f>A4*18</f>
        <v>414</v>
      </c>
      <c r="N4" s="90"/>
    </row>
    <row r="5" spans="1:14" ht="14.5">
      <c r="A5" s="23"/>
      <c r="B5" s="76"/>
      <c r="C5" s="24"/>
      <c r="D5" s="1"/>
      <c r="E5" s="80"/>
      <c r="F5" s="81"/>
      <c r="G5" s="82"/>
      <c r="H5" s="1"/>
      <c r="I5" s="86"/>
      <c r="J5" s="87"/>
      <c r="K5" s="88"/>
      <c r="L5" s="1"/>
      <c r="M5" s="91"/>
      <c r="N5" s="92"/>
    </row>
    <row r="6" spans="1:14" ht="14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4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4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4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4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4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4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4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4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4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.5">
      <c r="A28" s="1" t="s">
        <v>21</v>
      </c>
      <c r="B28" s="1" t="s">
        <v>280</v>
      </c>
      <c r="C28" s="1"/>
      <c r="D28" s="1"/>
      <c r="E28" s="1"/>
      <c r="F28" s="1"/>
      <c r="G28" s="1"/>
      <c r="H28" s="1" t="s">
        <v>18</v>
      </c>
      <c r="I28" s="1" t="s">
        <v>280</v>
      </c>
      <c r="J28" s="1"/>
      <c r="K28" s="1"/>
      <c r="L28" s="1"/>
      <c r="M28" s="1"/>
      <c r="N28" s="1"/>
    </row>
    <row r="29" spans="1:14" ht="14.5">
      <c r="A29" s="1" t="s">
        <v>29</v>
      </c>
      <c r="B29" s="1">
        <f>IF($C$2="All Periods",COUNTIFS('1. Opportunity Register'!$K$2:$K$61,"No-Bid",'1. Opportunity Register'!$V$2:$V$61,A29),COUNTIFS('1. Opportunity Register'!$K$2:$K$61,"No-Bid",'1. Opportunity Register'!$V$2:$V$61,A29,'1. Opportunity Register'!$AP$2:$AP$61,$C$2))</f>
        <v>13</v>
      </c>
      <c r="C29" s="1"/>
      <c r="D29" s="1"/>
      <c r="E29" s="1"/>
      <c r="F29" s="1"/>
      <c r="G29" s="1"/>
      <c r="H29" s="1" t="s">
        <v>26</v>
      </c>
      <c r="I29" s="1">
        <f>IF($C$2="All Periods",COUNTIFS('1. Opportunity Register'!$K$2:$K$61,"No-Bid",'1. Opportunity Register'!$F$2:$F$61,H29),COUNTIFS('1. Opportunity Register'!$K$2:$K$61,"No-Bid",'1. Opportunity Register'!$F$2:$F$61,H29,'1. Opportunity Register'!$AP$2:$AP$61,$C$2))</f>
        <v>4</v>
      </c>
      <c r="J29" s="1"/>
      <c r="K29" s="1"/>
      <c r="L29" s="1"/>
      <c r="M29" s="1"/>
      <c r="N29" s="1"/>
    </row>
    <row r="30" spans="1:14" ht="14.5">
      <c r="A30" s="1" t="s">
        <v>37</v>
      </c>
      <c r="B30" s="1">
        <f>IF($C$2="All Periods",COUNTIFS('1. Opportunity Register'!$K$2:$K$61,"No-Bid",'1. Opportunity Register'!$V$2:$V$61,A30),COUNTIFS('1. Opportunity Register'!$K$2:$K$61,"No-Bid",'1. Opportunity Register'!$V$2:$V$61,A30,'1. Opportunity Register'!$AP$2:$AP$61,$C$2))</f>
        <v>4</v>
      </c>
      <c r="C30" s="1"/>
      <c r="D30" s="1"/>
      <c r="E30" s="1"/>
      <c r="F30" s="1"/>
      <c r="G30" s="1"/>
      <c r="H30" s="1" t="s">
        <v>34</v>
      </c>
      <c r="I30" s="1">
        <f>IF($C$2="All Periods",COUNTIFS('1. Opportunity Register'!$K$2:$K$61,"No-Bid",'1. Opportunity Register'!$F$2:$F$61,H30),COUNTIFS('1. Opportunity Register'!$K$2:$K$61,"No-Bid",'1. Opportunity Register'!$F$2:$F$61,H30,'1. Opportunity Register'!$AP$2:$AP$61,$C$2))</f>
        <v>4</v>
      </c>
      <c r="J30" s="1"/>
      <c r="K30" s="1"/>
      <c r="L30" s="1"/>
      <c r="M30" s="1"/>
      <c r="N30" s="1"/>
    </row>
    <row r="31" spans="1:14" ht="14.5">
      <c r="A31" s="1" t="s">
        <v>45</v>
      </c>
      <c r="B31" s="1">
        <f>IF($C$2="All Periods",COUNTIFS('1. Opportunity Register'!$K$2:$K$61,"No-Bid",'1. Opportunity Register'!$V$2:$V$61,A31),COUNTIFS('1. Opportunity Register'!$K$2:$K$61,"No-Bid",'1. Opportunity Register'!$V$2:$V$61,A31,'1. Opportunity Register'!$AP$2:$AP$61,$C$2))</f>
        <v>1</v>
      </c>
      <c r="C31" s="1"/>
      <c r="D31" s="1"/>
      <c r="E31" s="1"/>
      <c r="F31" s="1"/>
      <c r="G31" s="1"/>
      <c r="H31" s="1" t="s">
        <v>42</v>
      </c>
      <c r="I31" s="1">
        <f>IF($C$2="All Periods",COUNTIFS('1. Opportunity Register'!$K$2:$K$61,"No-Bid",'1. Opportunity Register'!$F$2:$F$61,H31),COUNTIFS('1. Opportunity Register'!$K$2:$K$61,"No-Bid",'1. Opportunity Register'!$F$2:$F$61,H31,'1. Opportunity Register'!$AP$2:$AP$61,$C$2))</f>
        <v>2</v>
      </c>
      <c r="J31" s="1"/>
      <c r="K31" s="1"/>
      <c r="L31" s="1"/>
      <c r="M31" s="1"/>
      <c r="N31" s="1"/>
    </row>
    <row r="32" spans="1:14" ht="14.5">
      <c r="A32" s="1" t="s">
        <v>52</v>
      </c>
      <c r="B32" s="1">
        <f>IF($C$2="All Periods",COUNTIFS('1. Opportunity Register'!$K$2:$K$61,"No-Bid",'1. Opportunity Register'!$V$2:$V$61,A32),COUNTIFS('1. Opportunity Register'!$K$2:$K$61,"No-Bid",'1. Opportunity Register'!$V$2:$V$61,A32,'1. Opportunity Register'!$AP$2:$AP$61,$C$2))</f>
        <v>2</v>
      </c>
      <c r="C32" s="1"/>
      <c r="D32" s="1"/>
      <c r="E32" s="1"/>
      <c r="F32" s="1"/>
      <c r="G32" s="1"/>
      <c r="H32" s="1" t="s">
        <v>50</v>
      </c>
      <c r="I32" s="1">
        <f>IF($C$2="All Periods",COUNTIFS('1. Opportunity Register'!$K$2:$K$61,"No-Bid",'1. Opportunity Register'!$F$2:$F$61,H32),COUNTIFS('1. Opportunity Register'!$K$2:$K$61,"No-Bid",'1. Opportunity Register'!$F$2:$F$61,H32,'1. Opportunity Register'!$AP$2:$AP$61,$C$2))</f>
        <v>2</v>
      </c>
      <c r="J32" s="1"/>
      <c r="K32" s="1"/>
      <c r="L32" s="1"/>
      <c r="M32" s="1"/>
      <c r="N32" s="1"/>
    </row>
    <row r="33" spans="1:14" ht="14.5">
      <c r="A33" s="1" t="s">
        <v>56</v>
      </c>
      <c r="B33" s="1">
        <f>IF($C$2="All Periods",COUNTIFS('1. Opportunity Register'!$K$2:$K$61,"No-Bid",'1. Opportunity Register'!$V$2:$V$61,A33),COUNTIFS('1. Opportunity Register'!$K$2:$K$61,"No-Bid",'1. Opportunity Register'!$V$2:$V$61,A33,'1. Opportunity Register'!$AP$2:$AP$61,$C$2))</f>
        <v>1</v>
      </c>
      <c r="C33" s="1"/>
      <c r="D33" s="1"/>
      <c r="E33" s="1"/>
      <c r="F33" s="1"/>
      <c r="G33" s="1"/>
      <c r="H33" s="1" t="s">
        <v>55</v>
      </c>
      <c r="I33" s="1">
        <f>IF($C$2="All Periods",COUNTIFS('1. Opportunity Register'!$K$2:$K$61,"No-Bid",'1. Opportunity Register'!$F$2:$F$61,H33),COUNTIFS('1. Opportunity Register'!$K$2:$K$61,"No-Bid",'1. Opportunity Register'!$F$2:$F$61,H33,'1. Opportunity Register'!$AP$2:$AP$61,$C$2))</f>
        <v>11</v>
      </c>
      <c r="J33" s="1"/>
      <c r="K33" s="1"/>
      <c r="L33" s="1"/>
      <c r="M33" s="1"/>
      <c r="N33" s="1"/>
    </row>
    <row r="34" spans="1:14" ht="14.5">
      <c r="A34" s="1" t="s">
        <v>59</v>
      </c>
      <c r="B34" s="1">
        <f>IF($C$2="All Periods",COUNTIFS('1. Opportunity Register'!$K$2:$K$61,"No-Bid",'1. Opportunity Register'!$V$2:$V$61,A34),COUNTIFS('1. Opportunity Register'!$K$2:$K$61,"No-Bid",'1. Opportunity Register'!$V$2:$V$61,A34,'1. Opportunity Register'!$AP$2:$AP$61,$C$2))</f>
        <v>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5">
      <c r="A35" s="1" t="s">
        <v>62</v>
      </c>
      <c r="B35" s="1">
        <f>IF($C$2="All Periods",COUNTIFS('1. Opportunity Register'!$K$2:$K$61,"No-Bid",'1. Opportunity Register'!$V$2:$V$61,A35),COUNTIFS('1. Opportunity Register'!$K$2:$K$61,"No-Bid",'1. Opportunity Register'!$V$2:$V$61,A35,'1. Opportunity Register'!$AP$2:$AP$61,$C$2))</f>
        <v>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4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4.5">
      <c r="A38" s="1" t="s">
        <v>66</v>
      </c>
      <c r="B38" s="1" t="s">
        <v>17</v>
      </c>
      <c r="C38" s="1" t="s">
        <v>18</v>
      </c>
      <c r="D38" s="1" t="s">
        <v>290</v>
      </c>
      <c r="E38" s="1" t="s">
        <v>291</v>
      </c>
      <c r="F38" s="1" t="s">
        <v>20</v>
      </c>
      <c r="G38" s="1" t="s">
        <v>292</v>
      </c>
      <c r="H38" s="1" t="s">
        <v>19</v>
      </c>
      <c r="I38" s="1"/>
      <c r="J38" s="1"/>
      <c r="K38" s="1"/>
      <c r="L38" s="1"/>
      <c r="M38" s="1"/>
      <c r="N38" s="1"/>
    </row>
    <row r="39" spans="1:14" ht="29">
      <c r="A39" s="10" t="s">
        <v>102</v>
      </c>
      <c r="B39" s="10" t="s">
        <v>41</v>
      </c>
      <c r="C39" s="10" t="s">
        <v>55</v>
      </c>
      <c r="D39" s="10" t="s">
        <v>29</v>
      </c>
      <c r="E39" s="11">
        <v>62400</v>
      </c>
      <c r="F39" s="10" t="s">
        <v>44</v>
      </c>
      <c r="G39" s="10" t="s">
        <v>105</v>
      </c>
      <c r="H39" s="10" t="s">
        <v>27</v>
      </c>
      <c r="I39" s="1"/>
      <c r="J39" s="1"/>
      <c r="K39" s="1"/>
      <c r="L39" s="1"/>
      <c r="M39" s="1"/>
      <c r="N39" s="1"/>
    </row>
    <row r="40" spans="1:14" ht="43.5">
      <c r="A40" s="10" t="s">
        <v>120</v>
      </c>
      <c r="B40" s="10" t="s">
        <v>61</v>
      </c>
      <c r="C40" s="10" t="s">
        <v>55</v>
      </c>
      <c r="D40" s="10" t="s">
        <v>29</v>
      </c>
      <c r="E40" s="11">
        <v>205500</v>
      </c>
      <c r="F40" s="10" t="s">
        <v>36</v>
      </c>
      <c r="G40" s="10" t="s">
        <v>105</v>
      </c>
      <c r="H40" s="10" t="s">
        <v>43</v>
      </c>
      <c r="I40" s="1"/>
      <c r="J40" s="1"/>
      <c r="K40" s="1"/>
      <c r="L40" s="1"/>
      <c r="M40" s="1"/>
      <c r="N40" s="1"/>
    </row>
    <row r="41" spans="1:14" ht="29">
      <c r="A41" s="10" t="s">
        <v>128</v>
      </c>
      <c r="B41" s="10" t="s">
        <v>54</v>
      </c>
      <c r="C41" s="10" t="s">
        <v>50</v>
      </c>
      <c r="D41" s="10" t="s">
        <v>56</v>
      </c>
      <c r="E41" s="11">
        <v>150600</v>
      </c>
      <c r="F41" s="10" t="s">
        <v>28</v>
      </c>
      <c r="G41" s="10" t="s">
        <v>130</v>
      </c>
      <c r="H41" s="10" t="s">
        <v>27</v>
      </c>
      <c r="I41" s="1"/>
      <c r="J41" s="1"/>
      <c r="K41" s="1"/>
      <c r="L41" s="1"/>
      <c r="M41" s="1"/>
      <c r="N41" s="1"/>
    </row>
    <row r="42" spans="1:14" ht="29">
      <c r="A42" s="10" t="s">
        <v>139</v>
      </c>
      <c r="B42" s="10" t="s">
        <v>33</v>
      </c>
      <c r="C42" s="10" t="s">
        <v>42</v>
      </c>
      <c r="D42" s="10" t="s">
        <v>45</v>
      </c>
      <c r="E42" s="11">
        <v>2413200</v>
      </c>
      <c r="F42" s="10" t="s">
        <v>28</v>
      </c>
      <c r="G42" s="10" t="s">
        <v>141</v>
      </c>
      <c r="H42" s="10" t="s">
        <v>27</v>
      </c>
      <c r="I42" s="1"/>
      <c r="J42" s="1"/>
      <c r="K42" s="1"/>
      <c r="L42" s="1"/>
      <c r="M42" s="1"/>
      <c r="N42" s="1"/>
    </row>
    <row r="43" spans="1:14" ht="29">
      <c r="A43" s="10" t="s">
        <v>143</v>
      </c>
      <c r="B43" s="10" t="s">
        <v>54</v>
      </c>
      <c r="C43" s="10" t="s">
        <v>55</v>
      </c>
      <c r="D43" s="10" t="s">
        <v>29</v>
      </c>
      <c r="E43" s="11">
        <v>162600</v>
      </c>
      <c r="F43" s="10" t="s">
        <v>36</v>
      </c>
      <c r="G43" s="10" t="s">
        <v>105</v>
      </c>
      <c r="H43" s="10" t="s">
        <v>35</v>
      </c>
      <c r="I43" s="1"/>
      <c r="J43" s="1"/>
      <c r="K43" s="1"/>
      <c r="L43" s="1"/>
      <c r="M43" s="1"/>
      <c r="N43" s="1"/>
    </row>
    <row r="44" spans="1:14" ht="29">
      <c r="A44" s="10" t="s">
        <v>150</v>
      </c>
      <c r="B44" s="10" t="s">
        <v>64</v>
      </c>
      <c r="C44" s="10" t="s">
        <v>55</v>
      </c>
      <c r="D44" s="10" t="s">
        <v>29</v>
      </c>
      <c r="E44" s="11">
        <v>437700</v>
      </c>
      <c r="F44" s="10" t="s">
        <v>36</v>
      </c>
      <c r="G44" s="10" t="s">
        <v>105</v>
      </c>
      <c r="H44" s="10" t="s">
        <v>51</v>
      </c>
      <c r="I44" s="1"/>
      <c r="J44" s="1"/>
      <c r="K44" s="1"/>
      <c r="L44" s="1"/>
      <c r="M44" s="1"/>
      <c r="N44" s="1"/>
    </row>
    <row r="45" spans="1:14" ht="43.5">
      <c r="A45" s="10" t="s">
        <v>152</v>
      </c>
      <c r="B45" s="10" t="s">
        <v>61</v>
      </c>
      <c r="C45" s="10" t="s">
        <v>34</v>
      </c>
      <c r="D45" s="10" t="s">
        <v>29</v>
      </c>
      <c r="E45" s="11">
        <v>364400</v>
      </c>
      <c r="F45" s="10" t="s">
        <v>28</v>
      </c>
      <c r="G45" s="10" t="s">
        <v>105</v>
      </c>
      <c r="H45" s="10" t="s">
        <v>27</v>
      </c>
      <c r="I45" s="1"/>
      <c r="J45" s="1"/>
      <c r="K45" s="1"/>
      <c r="L45" s="1"/>
      <c r="M45" s="1"/>
      <c r="N45" s="1"/>
    </row>
    <row r="46" spans="1:14" ht="29">
      <c r="A46" s="10" t="s">
        <v>163</v>
      </c>
      <c r="B46" s="10" t="s">
        <v>49</v>
      </c>
      <c r="C46" s="10" t="s">
        <v>26</v>
      </c>
      <c r="D46" s="10" t="s">
        <v>59</v>
      </c>
      <c r="E46" s="11">
        <v>36000</v>
      </c>
      <c r="F46" s="10" t="s">
        <v>28</v>
      </c>
      <c r="G46" s="10" t="s">
        <v>164</v>
      </c>
      <c r="H46" s="10" t="s">
        <v>27</v>
      </c>
      <c r="I46" s="1"/>
      <c r="J46" s="1"/>
      <c r="K46" s="1"/>
      <c r="L46" s="1"/>
      <c r="M46" s="1"/>
      <c r="N46" s="1"/>
    </row>
    <row r="47" spans="1:14" ht="29">
      <c r="A47" s="10" t="s">
        <v>168</v>
      </c>
      <c r="B47" s="10" t="s">
        <v>33</v>
      </c>
      <c r="C47" s="10" t="s">
        <v>55</v>
      </c>
      <c r="D47" s="10" t="s">
        <v>29</v>
      </c>
      <c r="E47" s="11">
        <v>1771600</v>
      </c>
      <c r="F47" s="10" t="s">
        <v>44</v>
      </c>
      <c r="G47" s="10" t="s">
        <v>105</v>
      </c>
      <c r="H47" s="10" t="s">
        <v>43</v>
      </c>
      <c r="I47" s="1"/>
      <c r="J47" s="1"/>
      <c r="K47" s="1"/>
      <c r="L47" s="1"/>
      <c r="M47" s="1"/>
      <c r="N47" s="1"/>
    </row>
    <row r="48" spans="1:14" ht="29">
      <c r="A48" s="10" t="s">
        <v>174</v>
      </c>
      <c r="B48" s="10" t="s">
        <v>58</v>
      </c>
      <c r="C48" s="10" t="s">
        <v>55</v>
      </c>
      <c r="D48" s="10" t="s">
        <v>29</v>
      </c>
      <c r="E48" s="11">
        <v>511500</v>
      </c>
      <c r="F48" s="10" t="s">
        <v>44</v>
      </c>
      <c r="G48" s="10" t="s">
        <v>105</v>
      </c>
      <c r="H48" s="10" t="s">
        <v>27</v>
      </c>
      <c r="I48" s="1"/>
      <c r="J48" s="1"/>
      <c r="K48" s="1"/>
      <c r="L48" s="1"/>
      <c r="M48" s="1"/>
      <c r="N48" s="1"/>
    </row>
    <row r="49" spans="1:14" ht="29">
      <c r="A49" s="10" t="s">
        <v>187</v>
      </c>
      <c r="B49" s="10" t="s">
        <v>54</v>
      </c>
      <c r="C49" s="10" t="s">
        <v>42</v>
      </c>
      <c r="D49" s="10" t="s">
        <v>29</v>
      </c>
      <c r="E49" s="11">
        <v>18000</v>
      </c>
      <c r="F49" s="10" t="s">
        <v>28</v>
      </c>
      <c r="G49" s="10" t="s">
        <v>105</v>
      </c>
      <c r="H49" s="10" t="s">
        <v>27</v>
      </c>
      <c r="I49" s="1"/>
      <c r="J49" s="1"/>
      <c r="K49" s="1"/>
      <c r="L49" s="1"/>
      <c r="M49" s="1"/>
      <c r="N49" s="1"/>
    </row>
    <row r="50" spans="1:14" ht="43.5">
      <c r="A50" s="10" t="s">
        <v>195</v>
      </c>
      <c r="B50" s="10" t="s">
        <v>61</v>
      </c>
      <c r="C50" s="10" t="s">
        <v>55</v>
      </c>
      <c r="D50" s="10" t="s">
        <v>29</v>
      </c>
      <c r="E50" s="11">
        <v>114000</v>
      </c>
      <c r="F50" s="10" t="s">
        <v>36</v>
      </c>
      <c r="G50" s="10" t="s">
        <v>105</v>
      </c>
      <c r="H50" s="10" t="s">
        <v>51</v>
      </c>
      <c r="I50" s="1"/>
      <c r="J50" s="1"/>
      <c r="K50" s="1"/>
      <c r="L50" s="1"/>
      <c r="M50" s="1"/>
      <c r="N50" s="1"/>
    </row>
    <row r="51" spans="1:14" ht="29">
      <c r="A51" s="10" t="s">
        <v>197</v>
      </c>
      <c r="B51" s="10" t="s">
        <v>33</v>
      </c>
      <c r="C51" s="10" t="s">
        <v>34</v>
      </c>
      <c r="D51" s="10" t="s">
        <v>59</v>
      </c>
      <c r="E51" s="11">
        <v>938800</v>
      </c>
      <c r="F51" s="10" t="s">
        <v>28</v>
      </c>
      <c r="G51" s="10" t="s">
        <v>164</v>
      </c>
      <c r="H51" s="10" t="s">
        <v>27</v>
      </c>
      <c r="I51" s="1"/>
      <c r="J51" s="1"/>
      <c r="K51" s="1"/>
      <c r="L51" s="1"/>
      <c r="M51" s="1"/>
      <c r="N51" s="1"/>
    </row>
    <row r="52" spans="1:14" ht="29">
      <c r="A52" s="10" t="s">
        <v>203</v>
      </c>
      <c r="B52" s="10" t="s">
        <v>58</v>
      </c>
      <c r="C52" s="10" t="s">
        <v>34</v>
      </c>
      <c r="D52" s="10" t="s">
        <v>37</v>
      </c>
      <c r="E52" s="11">
        <v>170500</v>
      </c>
      <c r="F52" s="10" t="s">
        <v>44</v>
      </c>
      <c r="G52" s="10" t="s">
        <v>204</v>
      </c>
      <c r="H52" s="10" t="s">
        <v>43</v>
      </c>
      <c r="I52" s="1"/>
      <c r="J52" s="1"/>
      <c r="K52" s="1"/>
      <c r="L52" s="1"/>
      <c r="M52" s="1"/>
      <c r="N52" s="1"/>
    </row>
    <row r="53" spans="1:14" ht="43.5">
      <c r="A53" s="10" t="s">
        <v>209</v>
      </c>
      <c r="B53" s="10" t="s">
        <v>61</v>
      </c>
      <c r="C53" s="10" t="s">
        <v>26</v>
      </c>
      <c r="D53" s="10" t="s">
        <v>52</v>
      </c>
      <c r="E53" s="11">
        <v>785700</v>
      </c>
      <c r="F53" s="10" t="s">
        <v>28</v>
      </c>
      <c r="G53" s="10" t="s">
        <v>210</v>
      </c>
      <c r="H53" s="10" t="s">
        <v>27</v>
      </c>
      <c r="I53" s="1"/>
      <c r="J53" s="1"/>
      <c r="K53" s="1"/>
      <c r="L53" s="1"/>
      <c r="M53" s="1"/>
      <c r="N53" s="1"/>
    </row>
    <row r="54" spans="1:14" ht="29">
      <c r="A54" s="10" t="s">
        <v>215</v>
      </c>
      <c r="B54" s="10" t="s">
        <v>54</v>
      </c>
      <c r="C54" s="10" t="s">
        <v>55</v>
      </c>
      <c r="D54" s="10" t="s">
        <v>29</v>
      </c>
      <c r="E54" s="11">
        <v>378800</v>
      </c>
      <c r="F54" s="10" t="s">
        <v>36</v>
      </c>
      <c r="G54" s="10" t="s">
        <v>105</v>
      </c>
      <c r="H54" s="10" t="s">
        <v>43</v>
      </c>
      <c r="I54" s="1"/>
      <c r="J54" s="1"/>
      <c r="K54" s="1"/>
      <c r="L54" s="1"/>
      <c r="M54" s="1"/>
      <c r="N54" s="1"/>
    </row>
    <row r="55" spans="1:14" ht="29">
      <c r="A55" s="10" t="s">
        <v>220</v>
      </c>
      <c r="B55" s="10" t="s">
        <v>49</v>
      </c>
      <c r="C55" s="10" t="s">
        <v>55</v>
      </c>
      <c r="D55" s="10" t="s">
        <v>29</v>
      </c>
      <c r="E55" s="11">
        <v>18000</v>
      </c>
      <c r="F55" s="10" t="s">
        <v>36</v>
      </c>
      <c r="G55" s="10" t="s">
        <v>105</v>
      </c>
      <c r="H55" s="10" t="s">
        <v>27</v>
      </c>
      <c r="I55" s="1"/>
      <c r="J55" s="1"/>
      <c r="K55" s="1"/>
      <c r="L55" s="1"/>
      <c r="M55" s="1"/>
      <c r="N55" s="1"/>
    </row>
    <row r="56" spans="1:14" ht="29">
      <c r="A56" s="10" t="s">
        <v>228</v>
      </c>
      <c r="B56" s="10" t="s">
        <v>58</v>
      </c>
      <c r="C56" s="10" t="s">
        <v>50</v>
      </c>
      <c r="D56" s="10" t="s">
        <v>37</v>
      </c>
      <c r="E56" s="11">
        <v>341000</v>
      </c>
      <c r="F56" s="10" t="s">
        <v>44</v>
      </c>
      <c r="G56" s="10" t="s">
        <v>204</v>
      </c>
      <c r="H56" s="10" t="s">
        <v>27</v>
      </c>
      <c r="I56" s="1"/>
      <c r="J56" s="1"/>
      <c r="K56" s="1"/>
      <c r="L56" s="1"/>
      <c r="M56" s="1"/>
      <c r="N56" s="1"/>
    </row>
    <row r="57" spans="1:14" ht="29">
      <c r="A57" s="10" t="s">
        <v>124</v>
      </c>
      <c r="B57" s="10" t="s">
        <v>33</v>
      </c>
      <c r="C57" s="10" t="s">
        <v>55</v>
      </c>
      <c r="D57" s="10" t="s">
        <v>29</v>
      </c>
      <c r="E57" s="11">
        <v>3840400</v>
      </c>
      <c r="F57" s="10" t="s">
        <v>44</v>
      </c>
      <c r="G57" s="10" t="s">
        <v>105</v>
      </c>
      <c r="H57" s="10" t="s">
        <v>51</v>
      </c>
      <c r="I57" s="1"/>
      <c r="J57" s="1"/>
      <c r="K57" s="1"/>
      <c r="L57" s="1"/>
      <c r="M57" s="1"/>
      <c r="N57" s="1"/>
    </row>
    <row r="58" spans="1:14" ht="43.5">
      <c r="A58" s="10" t="s">
        <v>234</v>
      </c>
      <c r="B58" s="10" t="s">
        <v>64</v>
      </c>
      <c r="C58" s="10" t="s">
        <v>34</v>
      </c>
      <c r="D58" s="10" t="s">
        <v>52</v>
      </c>
      <c r="E58" s="11">
        <v>806700</v>
      </c>
      <c r="F58" s="10" t="s">
        <v>28</v>
      </c>
      <c r="G58" s="10" t="s">
        <v>210</v>
      </c>
      <c r="H58" s="10" t="s">
        <v>27</v>
      </c>
      <c r="I58" s="1"/>
      <c r="J58" s="1"/>
      <c r="K58" s="1"/>
      <c r="L58" s="1"/>
      <c r="M58" s="1"/>
      <c r="N58" s="1"/>
    </row>
    <row r="59" spans="1:14" ht="29">
      <c r="A59" s="10" t="s">
        <v>132</v>
      </c>
      <c r="B59" s="10" t="s">
        <v>25</v>
      </c>
      <c r="C59" s="10" t="s">
        <v>55</v>
      </c>
      <c r="D59" s="10" t="s">
        <v>29</v>
      </c>
      <c r="E59" s="11">
        <v>1865000</v>
      </c>
      <c r="F59" s="10" t="s">
        <v>44</v>
      </c>
      <c r="G59" s="10" t="s">
        <v>105</v>
      </c>
      <c r="H59" s="10" t="s">
        <v>35</v>
      </c>
      <c r="I59" s="1"/>
      <c r="J59" s="1"/>
      <c r="K59" s="1"/>
      <c r="L59" s="1"/>
      <c r="M59" s="1"/>
      <c r="N59" s="1"/>
    </row>
    <row r="60" spans="1:14" ht="29">
      <c r="A60" s="10" t="s">
        <v>139</v>
      </c>
      <c r="B60" s="10" t="s">
        <v>33</v>
      </c>
      <c r="C60" s="10" t="s">
        <v>26</v>
      </c>
      <c r="D60" s="10" t="s">
        <v>37</v>
      </c>
      <c r="E60" s="11">
        <v>134400</v>
      </c>
      <c r="F60" s="10" t="s">
        <v>28</v>
      </c>
      <c r="G60" s="10" t="s">
        <v>204</v>
      </c>
      <c r="H60" s="10" t="s">
        <v>27</v>
      </c>
      <c r="I60" s="1"/>
      <c r="J60" s="1"/>
      <c r="K60" s="1"/>
      <c r="L60" s="1"/>
      <c r="M60" s="1"/>
      <c r="N60" s="1"/>
    </row>
    <row r="61" spans="1:14" ht="29">
      <c r="A61" s="10" t="s">
        <v>146</v>
      </c>
      <c r="B61" s="10" t="s">
        <v>58</v>
      </c>
      <c r="C61" s="10" t="s">
        <v>26</v>
      </c>
      <c r="D61" s="10" t="s">
        <v>37</v>
      </c>
      <c r="E61" s="11">
        <v>511500</v>
      </c>
      <c r="F61" s="10" t="s">
        <v>44</v>
      </c>
      <c r="G61" s="10" t="s">
        <v>204</v>
      </c>
      <c r="H61" s="10" t="s">
        <v>43</v>
      </c>
      <c r="I61" s="1"/>
      <c r="J61" s="1"/>
      <c r="K61" s="1"/>
      <c r="L61" s="1"/>
      <c r="M61" s="1"/>
      <c r="N61" s="1"/>
    </row>
  </sheetData>
  <mergeCells count="12">
    <mergeCell ref="A1:N1"/>
    <mergeCell ref="A2:B2"/>
    <mergeCell ref="C2:D2"/>
    <mergeCell ref="A3:C3"/>
    <mergeCell ref="A4:C5"/>
    <mergeCell ref="E3:G3"/>
    <mergeCell ref="E4:G5"/>
    <mergeCell ref="I3:K3"/>
    <mergeCell ref="I4:K5"/>
    <mergeCell ref="M3:N3"/>
    <mergeCell ref="M4:N5"/>
    <mergeCell ref="E2:F2"/>
  </mergeCells>
  <dataValidations count="1">
    <dataValidation type="list" sqref="C2" xr:uid="{00000000-0002-0000-0600-000000000000}">
      <formula1>"All Periods,Sep 2025,Oct 2025,Nov 2025,Dec 2025,Jan 2026,Feb 2026,Mar 2026,Apr 2026,May 2026,Jun 2026,Jul 2026,Aug 2026"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499984740745262"/>
  </sheetPr>
  <dimension ref="A1:N69"/>
  <sheetViews>
    <sheetView showGridLines="0" workbookViewId="0">
      <selection activeCell="L46" sqref="L46"/>
    </sheetView>
  </sheetViews>
  <sheetFormatPr defaultRowHeight="14"/>
  <cols>
    <col min="1" max="1" width="42" customWidth="1"/>
    <col min="2" max="11" width="14" customWidth="1"/>
    <col min="12" max="12" width="52" customWidth="1"/>
    <col min="13" max="14" width="14" customWidth="1"/>
  </cols>
  <sheetData>
    <row r="1" spans="1:14" ht="34" customHeight="1">
      <c r="A1" s="14" t="s">
        <v>293</v>
      </c>
      <c r="B1" s="14" t="s">
        <v>293</v>
      </c>
      <c r="C1" s="14" t="s">
        <v>293</v>
      </c>
      <c r="D1" s="14" t="s">
        <v>293</v>
      </c>
      <c r="E1" s="14" t="s">
        <v>293</v>
      </c>
      <c r="F1" s="14" t="s">
        <v>293</v>
      </c>
      <c r="G1" s="14" t="s">
        <v>293</v>
      </c>
      <c r="H1" s="14" t="s">
        <v>293</v>
      </c>
      <c r="I1" s="14" t="s">
        <v>293</v>
      </c>
      <c r="J1" s="14" t="s">
        <v>293</v>
      </c>
      <c r="K1" s="14" t="s">
        <v>293</v>
      </c>
      <c r="L1" s="14" t="s">
        <v>293</v>
      </c>
      <c r="M1" s="14" t="s">
        <v>293</v>
      </c>
      <c r="N1" s="14" t="s">
        <v>293</v>
      </c>
    </row>
    <row r="2" spans="1:14" ht="14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5">
      <c r="A3" s="19" t="s">
        <v>294</v>
      </c>
      <c r="B3" s="29" t="s">
        <v>294</v>
      </c>
      <c r="C3" s="20" t="s">
        <v>294</v>
      </c>
      <c r="D3" s="1"/>
      <c r="E3" s="19" t="s">
        <v>295</v>
      </c>
      <c r="F3" s="29" t="s">
        <v>295</v>
      </c>
      <c r="G3" s="20" t="s">
        <v>295</v>
      </c>
      <c r="H3" s="1"/>
      <c r="I3" s="19" t="s">
        <v>296</v>
      </c>
      <c r="J3" s="29" t="s">
        <v>296</v>
      </c>
      <c r="K3" s="20" t="s">
        <v>296</v>
      </c>
      <c r="L3" s="1"/>
      <c r="M3" s="19" t="s">
        <v>297</v>
      </c>
      <c r="N3" s="20" t="s">
        <v>297</v>
      </c>
    </row>
    <row r="4" spans="1:14" ht="14.5">
      <c r="A4" s="52">
        <f>COUNTIF('1. Opportunity Register'!$K$2:$K$61,"Won")+COUNTIF('1. Opportunity Register'!$K$2:$K$61,"Lost")</f>
        <v>29</v>
      </c>
      <c r="B4" s="122"/>
      <c r="C4" s="53"/>
      <c r="D4" s="1"/>
      <c r="E4" s="124">
        <f>IFERROR(SUM('1. Opportunity Register'!$AI$2:$AI$61)/SUM('1. Opportunity Register'!$Y$2:$Y$61),0)</f>
        <v>0.1454583479504547</v>
      </c>
      <c r="F4" s="125"/>
      <c r="G4" s="126"/>
      <c r="H4" s="1"/>
      <c r="I4" s="48">
        <f>COUNTIFS('1. Opportunity Register'!$AJ$2:$AJ$61,"&gt;0",'1. Opportunity Register'!$AJ$2:$AJ$61,"&lt;=0.12")</f>
        <v>16</v>
      </c>
      <c r="J4" s="130"/>
      <c r="K4" s="49"/>
      <c r="L4" s="1"/>
      <c r="M4" s="132">
        <f>COUNTIF('1. Opportunity Register'!$AJ$2:$AJ$61,"&gt;0.20")</f>
        <v>3</v>
      </c>
      <c r="N4" s="133"/>
    </row>
    <row r="5" spans="1:14" ht="14.5">
      <c r="A5" s="54"/>
      <c r="B5" s="123"/>
      <c r="C5" s="55"/>
      <c r="D5" s="1"/>
      <c r="E5" s="127"/>
      <c r="F5" s="128"/>
      <c r="G5" s="129"/>
      <c r="H5" s="1"/>
      <c r="I5" s="50"/>
      <c r="J5" s="131"/>
      <c r="K5" s="51"/>
      <c r="L5" s="1"/>
      <c r="M5" s="134"/>
      <c r="N5" s="135"/>
    </row>
    <row r="6" spans="1:14" ht="14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4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4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4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4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4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4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4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4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4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.5">
      <c r="A28" s="1" t="s">
        <v>17</v>
      </c>
      <c r="B28" s="1" t="s">
        <v>298</v>
      </c>
      <c r="C28" s="1"/>
      <c r="D28" s="1"/>
      <c r="E28" s="1"/>
      <c r="F28" s="1"/>
      <c r="G28" s="1"/>
      <c r="H28" s="1" t="s">
        <v>299</v>
      </c>
      <c r="I28" s="1" t="s">
        <v>280</v>
      </c>
      <c r="J28" s="1"/>
      <c r="K28" s="1"/>
      <c r="L28" s="1"/>
      <c r="M28" s="1"/>
      <c r="N28" s="1"/>
    </row>
    <row r="29" spans="1:14" ht="14.5">
      <c r="A29" s="1" t="s">
        <v>25</v>
      </c>
      <c r="B29" s="6">
        <f>IFERROR(AVERAGEIF('1. Opportunity Register'!$E$2:$E$61,A29,'1. Opportunity Register'!$AJ$2:$AJ$61),0)</f>
        <v>5.6255513870302365E-2</v>
      </c>
      <c r="C29" s="1"/>
      <c r="D29" s="1"/>
      <c r="E29" s="1"/>
      <c r="F29" s="1"/>
      <c r="G29" s="1"/>
      <c r="H29" s="1" t="s">
        <v>300</v>
      </c>
      <c r="I29" s="1">
        <f>COUNTIF('1. Opportunity Register'!$K$2:$K$61,"Won")</f>
        <v>3</v>
      </c>
      <c r="J29" s="1"/>
      <c r="K29" s="1"/>
      <c r="L29" s="1"/>
      <c r="M29" s="1"/>
      <c r="N29" s="1"/>
    </row>
    <row r="30" spans="1:14" ht="14.5">
      <c r="A30" s="1" t="s">
        <v>33</v>
      </c>
      <c r="B30" s="6">
        <f>IFERROR(AVERAGEIF('1. Opportunity Register'!$E$2:$E$61,A30,'1. Opportunity Register'!$AJ$2:$AJ$61),0)</f>
        <v>0.12003960538127438</v>
      </c>
      <c r="C30" s="1"/>
      <c r="D30" s="1"/>
      <c r="E30" s="1"/>
      <c r="F30" s="1"/>
      <c r="G30" s="1"/>
      <c r="H30" s="1" t="s">
        <v>301</v>
      </c>
      <c r="I30" s="1">
        <f>COUNTIFS('1. Opportunity Register'!$AJ$2:$AJ$61,"&gt;0",'1. Opportunity Register'!$AJ$2:$AJ$61,"&lt;=0.12")</f>
        <v>16</v>
      </c>
      <c r="J30" s="1"/>
      <c r="K30" s="1"/>
      <c r="L30" s="1"/>
      <c r="M30" s="1"/>
      <c r="N30" s="1"/>
    </row>
    <row r="31" spans="1:14" ht="14.5">
      <c r="A31" s="1" t="s">
        <v>41</v>
      </c>
      <c r="B31" s="6">
        <f>IFERROR(AVERAGEIF('1. Opportunity Register'!$E$2:$E$61,A31,'1. Opportunity Register'!$AJ$2:$AJ$61),0)</f>
        <v>0.25999070608151148</v>
      </c>
      <c r="C31" s="1"/>
      <c r="D31" s="1"/>
      <c r="E31" s="1"/>
      <c r="F31" s="1"/>
      <c r="G31" s="1"/>
      <c r="H31" s="1" t="s">
        <v>302</v>
      </c>
      <c r="I31" s="1">
        <f>COUNTIFS('1. Opportunity Register'!$AJ$2:$AJ$61,"&gt;0.12",'1. Opportunity Register'!$AJ$2:$AJ$61,"&lt;=0.20")</f>
        <v>7</v>
      </c>
      <c r="J31" s="1"/>
      <c r="K31" s="1"/>
      <c r="L31" s="1"/>
      <c r="M31" s="1"/>
      <c r="N31" s="1"/>
    </row>
    <row r="32" spans="1:14" ht="14.5">
      <c r="A32" s="1" t="s">
        <v>49</v>
      </c>
      <c r="B32" s="6">
        <f>IFERROR(AVERAGEIF('1. Opportunity Register'!$E$2:$E$61,A32,'1. Opportunity Register'!$AJ$2:$AJ$61),0)</f>
        <v>9.0909090909090925E-2</v>
      </c>
      <c r="C32" s="1"/>
      <c r="D32" s="1"/>
      <c r="E32" s="1"/>
      <c r="F32" s="1"/>
      <c r="G32" s="1"/>
      <c r="H32" s="1" t="s">
        <v>303</v>
      </c>
      <c r="I32" s="1">
        <f>COUNTIF('1. Opportunity Register'!$AJ$2:$AJ$61,"&gt;0.20")</f>
        <v>3</v>
      </c>
      <c r="J32" s="1"/>
      <c r="K32" s="1"/>
      <c r="L32" s="1"/>
      <c r="M32" s="1"/>
      <c r="N32" s="1"/>
    </row>
    <row r="33" spans="1:14" ht="14.5">
      <c r="A33" s="1" t="s">
        <v>54</v>
      </c>
      <c r="B33" s="6">
        <f>IFERROR(AVERAGEIF('1. Opportunity Register'!$E$2:$E$61,A33,'1. Opportunity Register'!$AJ$2:$AJ$61),0)</f>
        <v>0.13981915977657433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5">
      <c r="A34" s="1" t="s">
        <v>58</v>
      </c>
      <c r="B34" s="6">
        <f>IFERROR(AVERAGEIF('1. Opportunity Register'!$E$2:$E$61,A34,'1. Opportunity Register'!$AJ$2:$AJ$61),0)</f>
        <v>0.17993079584775087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5">
      <c r="A35" s="1" t="s">
        <v>61</v>
      </c>
      <c r="B35" s="6">
        <f>IFERROR(AVERAGEIF('1. Opportunity Register'!$E$2:$E$61,A35,'1. Opportunity Register'!$AJ$2:$AJ$61),0)</f>
        <v>0.10483144813077003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5">
      <c r="A36" s="1" t="s">
        <v>64</v>
      </c>
      <c r="B36" s="6">
        <f>IFERROR(AVERAGEIF('1. Opportunity Register'!$E$2:$E$61,A36,'1. Opportunity Register'!$AJ$2:$AJ$61),0)</f>
        <v>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4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4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4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4.5">
      <c r="A40" s="1" t="s">
        <v>66</v>
      </c>
      <c r="B40" s="1" t="s">
        <v>17</v>
      </c>
      <c r="C40" s="1" t="s">
        <v>18</v>
      </c>
      <c r="D40" s="1" t="s">
        <v>15</v>
      </c>
      <c r="E40" s="1" t="s">
        <v>82</v>
      </c>
      <c r="F40" s="1" t="s">
        <v>83</v>
      </c>
      <c r="G40" s="1" t="s">
        <v>93</v>
      </c>
      <c r="H40" s="1" t="s">
        <v>94</v>
      </c>
      <c r="I40" s="1" t="s">
        <v>95</v>
      </c>
      <c r="J40" s="1" t="s">
        <v>84</v>
      </c>
      <c r="K40" s="1" t="s">
        <v>85</v>
      </c>
      <c r="L40" s="1" t="s">
        <v>99</v>
      </c>
      <c r="M40" s="1"/>
      <c r="N40" s="1"/>
    </row>
    <row r="41" spans="1:14" ht="43.5">
      <c r="A41" s="10" t="s">
        <v>111</v>
      </c>
      <c r="B41" s="10" t="s">
        <v>49</v>
      </c>
      <c r="C41" s="10" t="s">
        <v>42</v>
      </c>
      <c r="D41" s="10" t="s">
        <v>31</v>
      </c>
      <c r="E41" s="11">
        <v>36000</v>
      </c>
      <c r="F41" s="11">
        <v>33000</v>
      </c>
      <c r="G41" s="11">
        <f t="shared" ref="G41:G69" si="0">E41-F41</f>
        <v>3000</v>
      </c>
      <c r="H41" s="12">
        <f t="shared" ref="H41:H69" si="1">IFERROR(G41/F41,0)</f>
        <v>9.0909090909090912E-2</v>
      </c>
      <c r="I41" s="13" t="str">
        <f>IFERROR(E41/'1. Opportunity Register'!P3,"")</f>
        <v/>
      </c>
      <c r="J41" s="10" t="s">
        <v>115</v>
      </c>
      <c r="K41" s="10" t="s">
        <v>116</v>
      </c>
      <c r="L41" s="10" t="s">
        <v>118</v>
      </c>
      <c r="M41" s="1"/>
      <c r="N41" s="1"/>
    </row>
    <row r="42" spans="1:14" ht="29">
      <c r="A42" s="10" t="s">
        <v>124</v>
      </c>
      <c r="B42" s="10" t="s">
        <v>33</v>
      </c>
      <c r="C42" s="10" t="s">
        <v>34</v>
      </c>
      <c r="D42" s="10" t="s">
        <v>31</v>
      </c>
      <c r="E42" s="11">
        <v>320800</v>
      </c>
      <c r="F42" s="11">
        <v>286400</v>
      </c>
      <c r="G42" s="11">
        <f t="shared" si="0"/>
        <v>34400</v>
      </c>
      <c r="H42" s="12">
        <f t="shared" si="1"/>
        <v>0.12011173184357542</v>
      </c>
      <c r="I42" s="13">
        <f>IFERROR(E42/'1. Opportunity Register'!P5,"")</f>
        <v>2.5502213954671564</v>
      </c>
      <c r="J42" s="10" t="s">
        <v>116</v>
      </c>
      <c r="K42" s="10" t="s">
        <v>126</v>
      </c>
      <c r="L42" s="10" t="s">
        <v>118</v>
      </c>
      <c r="M42" s="1"/>
      <c r="N42" s="1"/>
    </row>
    <row r="43" spans="1:14" ht="43.5">
      <c r="A43" s="10" t="s">
        <v>132</v>
      </c>
      <c r="B43" s="10" t="s">
        <v>25</v>
      </c>
      <c r="C43" s="10" t="s">
        <v>34</v>
      </c>
      <c r="D43" s="10" t="s">
        <v>31</v>
      </c>
      <c r="E43" s="11">
        <v>1361100</v>
      </c>
      <c r="F43" s="11">
        <v>1266100</v>
      </c>
      <c r="G43" s="11">
        <f t="shared" si="0"/>
        <v>95000</v>
      </c>
      <c r="H43" s="12">
        <f t="shared" si="1"/>
        <v>7.5033567648684935E-2</v>
      </c>
      <c r="I43" s="13">
        <f>IFERROR(E43/'1. Opportunity Register'!P7,"")</f>
        <v>6.7496466737745155</v>
      </c>
      <c r="J43" s="10" t="s">
        <v>126</v>
      </c>
      <c r="K43" s="10" t="s">
        <v>115</v>
      </c>
      <c r="L43" s="10" t="s">
        <v>118</v>
      </c>
      <c r="M43" s="1"/>
      <c r="N43" s="1"/>
    </row>
    <row r="44" spans="1:14" ht="29">
      <c r="A44" s="10" t="s">
        <v>135</v>
      </c>
      <c r="B44" s="10" t="s">
        <v>49</v>
      </c>
      <c r="C44" s="10" t="s">
        <v>50</v>
      </c>
      <c r="D44" s="10" t="s">
        <v>31</v>
      </c>
      <c r="E44" s="11">
        <v>18000</v>
      </c>
      <c r="F44" s="11">
        <v>16500</v>
      </c>
      <c r="G44" s="11">
        <f t="shared" si="0"/>
        <v>1500</v>
      </c>
      <c r="H44" s="12">
        <f t="shared" si="1"/>
        <v>9.0909090909090912E-2</v>
      </c>
      <c r="I44" s="13" t="str">
        <f>IFERROR(E44/'1. Opportunity Register'!P8,"")</f>
        <v/>
      </c>
      <c r="J44" s="10" t="s">
        <v>129</v>
      </c>
      <c r="K44" s="10" t="s">
        <v>106</v>
      </c>
      <c r="L44" s="10" t="s">
        <v>118</v>
      </c>
      <c r="M44" s="1"/>
      <c r="N44" s="1"/>
    </row>
    <row r="45" spans="1:14" ht="43.5">
      <c r="A45" s="10" t="s">
        <v>137</v>
      </c>
      <c r="B45" s="10" t="s">
        <v>61</v>
      </c>
      <c r="C45" s="10" t="s">
        <v>26</v>
      </c>
      <c r="D45" s="10" t="s">
        <v>31</v>
      </c>
      <c r="E45" s="11">
        <v>433000</v>
      </c>
      <c r="F45" s="11">
        <v>391900</v>
      </c>
      <c r="G45" s="11">
        <f t="shared" si="0"/>
        <v>41100</v>
      </c>
      <c r="H45" s="12">
        <f t="shared" si="1"/>
        <v>0.10487369226843582</v>
      </c>
      <c r="I45" s="13">
        <f>IFERROR(E45/'1. Opportunity Register'!P9,"")</f>
        <v>1.5602647765722459</v>
      </c>
      <c r="J45" s="10" t="s">
        <v>115</v>
      </c>
      <c r="K45" s="10" t="s">
        <v>116</v>
      </c>
      <c r="L45" s="10" t="s">
        <v>118</v>
      </c>
      <c r="M45" s="1"/>
      <c r="N45" s="1"/>
    </row>
    <row r="46" spans="1:14" ht="29">
      <c r="A46" s="10" t="s">
        <v>146</v>
      </c>
      <c r="B46" s="10" t="s">
        <v>58</v>
      </c>
      <c r="C46" s="10" t="s">
        <v>42</v>
      </c>
      <c r="D46" s="10" t="s">
        <v>31</v>
      </c>
      <c r="E46" s="11">
        <v>341000</v>
      </c>
      <c r="F46" s="11">
        <v>289000</v>
      </c>
      <c r="G46" s="11">
        <f t="shared" si="0"/>
        <v>52000</v>
      </c>
      <c r="H46" s="12">
        <f t="shared" si="1"/>
        <v>0.17993079584775087</v>
      </c>
      <c r="I46" s="13" t="str">
        <f>IFERROR(E46/'1. Opportunity Register'!P12,"")</f>
        <v/>
      </c>
      <c r="J46" s="10" t="s">
        <v>122</v>
      </c>
      <c r="K46" s="10" t="s">
        <v>129</v>
      </c>
      <c r="L46" s="10" t="s">
        <v>118</v>
      </c>
      <c r="M46" s="1"/>
      <c r="N46" s="1"/>
    </row>
    <row r="47" spans="1:14" ht="43.5">
      <c r="A47" s="10" t="s">
        <v>154</v>
      </c>
      <c r="B47" s="10" t="s">
        <v>41</v>
      </c>
      <c r="C47" s="10" t="s">
        <v>50</v>
      </c>
      <c r="D47" s="10" t="s">
        <v>31</v>
      </c>
      <c r="E47" s="11">
        <v>5253000</v>
      </c>
      <c r="F47" s="11">
        <v>4169000</v>
      </c>
      <c r="G47" s="11">
        <f t="shared" si="0"/>
        <v>1084000</v>
      </c>
      <c r="H47" s="12">
        <f t="shared" si="1"/>
        <v>0.26001439194051329</v>
      </c>
      <c r="I47" s="13">
        <f>IFERROR(E47/'1. Opportunity Register'!P15,"")</f>
        <v>10.399859038651522</v>
      </c>
      <c r="J47" s="10" t="s">
        <v>115</v>
      </c>
      <c r="K47" s="10" t="s">
        <v>116</v>
      </c>
      <c r="L47" s="10" t="s">
        <v>155</v>
      </c>
      <c r="M47" s="1"/>
      <c r="N47" s="1"/>
    </row>
    <row r="48" spans="1:14" ht="29">
      <c r="A48" s="10" t="s">
        <v>157</v>
      </c>
      <c r="B48" s="10" t="s">
        <v>54</v>
      </c>
      <c r="C48" s="10" t="s">
        <v>26</v>
      </c>
      <c r="D48" s="10" t="s">
        <v>31</v>
      </c>
      <c r="E48" s="11">
        <v>749400</v>
      </c>
      <c r="F48" s="11">
        <v>657400</v>
      </c>
      <c r="G48" s="11">
        <f t="shared" si="0"/>
        <v>92000</v>
      </c>
      <c r="H48" s="12">
        <f t="shared" si="1"/>
        <v>0.13994523881959234</v>
      </c>
      <c r="I48" s="13">
        <f>IFERROR(E48/'1. Opportunity Register'!P16,"")</f>
        <v>1.380024086889587</v>
      </c>
      <c r="J48" s="10" t="s">
        <v>106</v>
      </c>
      <c r="K48" s="10" t="s">
        <v>122</v>
      </c>
      <c r="L48" s="10" t="s">
        <v>118</v>
      </c>
      <c r="M48" s="1"/>
      <c r="N48" s="1"/>
    </row>
    <row r="49" spans="1:14" ht="29">
      <c r="A49" s="10" t="s">
        <v>160</v>
      </c>
      <c r="B49" s="10" t="s">
        <v>25</v>
      </c>
      <c r="C49" s="10" t="s">
        <v>50</v>
      </c>
      <c r="D49" s="10" t="s">
        <v>31</v>
      </c>
      <c r="E49" s="11">
        <v>1307200</v>
      </c>
      <c r="F49" s="11">
        <v>1216000</v>
      </c>
      <c r="G49" s="11">
        <f t="shared" si="0"/>
        <v>91200</v>
      </c>
      <c r="H49" s="12">
        <f t="shared" si="1"/>
        <v>7.4999999999999997E-2</v>
      </c>
      <c r="I49" s="13">
        <f>IFERROR(E49/'1. Opportunity Register'!P17,"")</f>
        <v>2.2500494866300036</v>
      </c>
      <c r="J49" s="10" t="s">
        <v>116</v>
      </c>
      <c r="K49" s="10" t="s">
        <v>126</v>
      </c>
      <c r="L49" s="10" t="s">
        <v>118</v>
      </c>
      <c r="M49" s="1"/>
      <c r="N49" s="1"/>
    </row>
    <row r="50" spans="1:14" ht="43.5">
      <c r="A50" s="10" t="s">
        <v>166</v>
      </c>
      <c r="B50" s="10" t="s">
        <v>61</v>
      </c>
      <c r="C50" s="10" t="s">
        <v>42</v>
      </c>
      <c r="D50" s="10" t="s">
        <v>31</v>
      </c>
      <c r="E50" s="11">
        <v>1536900</v>
      </c>
      <c r="F50" s="11">
        <v>1390900</v>
      </c>
      <c r="G50" s="11">
        <f t="shared" si="0"/>
        <v>146000</v>
      </c>
      <c r="H50" s="12">
        <f t="shared" si="1"/>
        <v>0.10496800632683874</v>
      </c>
      <c r="I50" s="13">
        <f>IFERROR(E50/'1. Opportunity Register'!P19,"")</f>
        <v>2.3398855406370322</v>
      </c>
      <c r="J50" s="10" t="s">
        <v>126</v>
      </c>
      <c r="K50" s="10" t="s">
        <v>115</v>
      </c>
      <c r="L50" s="10" t="s">
        <v>118</v>
      </c>
      <c r="M50" s="1"/>
      <c r="N50" s="1"/>
    </row>
    <row r="51" spans="1:14" ht="43.5">
      <c r="A51" s="10" t="s">
        <v>171</v>
      </c>
      <c r="B51" s="10" t="s">
        <v>54</v>
      </c>
      <c r="C51" s="10" t="s">
        <v>34</v>
      </c>
      <c r="D51" s="10" t="s">
        <v>31</v>
      </c>
      <c r="E51" s="11">
        <v>674000</v>
      </c>
      <c r="F51" s="11">
        <v>591200</v>
      </c>
      <c r="G51" s="11">
        <f t="shared" si="0"/>
        <v>82800</v>
      </c>
      <c r="H51" s="12">
        <f t="shared" si="1"/>
        <v>0.14005412719891747</v>
      </c>
      <c r="I51" s="13">
        <f>IFERROR(E51/'1. Opportunity Register'!P21,"")</f>
        <v>0.91989916594899068</v>
      </c>
      <c r="J51" s="10" t="s">
        <v>115</v>
      </c>
      <c r="K51" s="10" t="s">
        <v>116</v>
      </c>
      <c r="L51" s="10" t="s">
        <v>118</v>
      </c>
      <c r="M51" s="1"/>
      <c r="N51" s="1"/>
    </row>
    <row r="52" spans="1:14" ht="29">
      <c r="A52" s="10" t="s">
        <v>177</v>
      </c>
      <c r="B52" s="10" t="s">
        <v>49</v>
      </c>
      <c r="C52" s="10" t="s">
        <v>34</v>
      </c>
      <c r="D52" s="10" t="s">
        <v>31</v>
      </c>
      <c r="E52" s="11">
        <v>18000</v>
      </c>
      <c r="F52" s="11">
        <v>16500</v>
      </c>
      <c r="G52" s="11">
        <f t="shared" si="0"/>
        <v>1500</v>
      </c>
      <c r="H52" s="12">
        <f t="shared" si="1"/>
        <v>9.0909090909090912E-2</v>
      </c>
      <c r="I52" s="13" t="str">
        <f>IFERROR(E52/'1. Opportunity Register'!P23,"")</f>
        <v/>
      </c>
      <c r="J52" s="10" t="s">
        <v>116</v>
      </c>
      <c r="K52" s="10" t="s">
        <v>126</v>
      </c>
      <c r="L52" s="10" t="s">
        <v>118</v>
      </c>
      <c r="M52" s="1"/>
      <c r="N52" s="1"/>
    </row>
    <row r="53" spans="1:14" ht="29">
      <c r="A53" s="10" t="s">
        <v>179</v>
      </c>
      <c r="B53" s="10" t="s">
        <v>64</v>
      </c>
      <c r="C53" s="10" t="s">
        <v>50</v>
      </c>
      <c r="D53" s="10" t="s">
        <v>23</v>
      </c>
      <c r="E53" s="11">
        <v>575600</v>
      </c>
      <c r="F53" s="11">
        <v>575600</v>
      </c>
      <c r="G53" s="11">
        <f t="shared" si="0"/>
        <v>0</v>
      </c>
      <c r="H53" s="12">
        <f t="shared" si="1"/>
        <v>0</v>
      </c>
      <c r="I53" s="13">
        <f>IFERROR(E53/'1. Opportunity Register'!P24,"")</f>
        <v>0.67999083264617555</v>
      </c>
      <c r="J53" s="10" t="s">
        <v>180</v>
      </c>
      <c r="K53" s="10" t="s">
        <v>129</v>
      </c>
      <c r="L53" s="10" t="s">
        <v>182</v>
      </c>
      <c r="M53" s="1"/>
      <c r="N53" s="1"/>
    </row>
    <row r="54" spans="1:14" ht="43.5">
      <c r="A54" s="10" t="s">
        <v>184</v>
      </c>
      <c r="B54" s="10" t="s">
        <v>33</v>
      </c>
      <c r="C54" s="10" t="s">
        <v>26</v>
      </c>
      <c r="D54" s="10" t="s">
        <v>31</v>
      </c>
      <c r="E54" s="11">
        <v>6765900</v>
      </c>
      <c r="F54" s="11">
        <v>6041000</v>
      </c>
      <c r="G54" s="11">
        <f t="shared" si="0"/>
        <v>724900</v>
      </c>
      <c r="H54" s="12">
        <f t="shared" si="1"/>
        <v>0.11999668928985267</v>
      </c>
      <c r="I54" s="13">
        <f>IFERROR(E54/'1. Opportunity Register'!P25,"")</f>
        <v>7.6501589189665911</v>
      </c>
      <c r="J54" s="10" t="s">
        <v>126</v>
      </c>
      <c r="K54" s="10" t="s">
        <v>115</v>
      </c>
      <c r="L54" s="10" t="s">
        <v>118</v>
      </c>
      <c r="M54" s="1"/>
      <c r="N54" s="1"/>
    </row>
    <row r="55" spans="1:14" ht="29">
      <c r="A55" s="10" t="s">
        <v>190</v>
      </c>
      <c r="B55" s="10" t="s">
        <v>25</v>
      </c>
      <c r="C55" s="10" t="s">
        <v>26</v>
      </c>
      <c r="D55" s="10" t="s">
        <v>23</v>
      </c>
      <c r="E55" s="11">
        <v>316200</v>
      </c>
      <c r="F55" s="11">
        <v>316200</v>
      </c>
      <c r="G55" s="11">
        <f t="shared" si="0"/>
        <v>0</v>
      </c>
      <c r="H55" s="12">
        <f t="shared" si="1"/>
        <v>0</v>
      </c>
      <c r="I55" s="13">
        <f>IFERROR(E55/'1. Opportunity Register'!P27,"")</f>
        <v>4.4994663820704375</v>
      </c>
      <c r="J55" s="10" t="s">
        <v>180</v>
      </c>
      <c r="K55" s="10" t="s">
        <v>116</v>
      </c>
      <c r="L55" s="10" t="s">
        <v>182</v>
      </c>
      <c r="M55" s="1"/>
      <c r="N55" s="1"/>
    </row>
    <row r="56" spans="1:14" ht="29">
      <c r="A56" s="10" t="s">
        <v>193</v>
      </c>
      <c r="B56" s="10" t="s">
        <v>41</v>
      </c>
      <c r="C56" s="10" t="s">
        <v>42</v>
      </c>
      <c r="D56" s="10" t="s">
        <v>31</v>
      </c>
      <c r="E56" s="11">
        <v>1688100</v>
      </c>
      <c r="F56" s="11">
        <v>1339800</v>
      </c>
      <c r="G56" s="11">
        <f t="shared" si="0"/>
        <v>348300</v>
      </c>
      <c r="H56" s="12">
        <f t="shared" si="1"/>
        <v>0.25996417375727721</v>
      </c>
      <c r="I56" s="13">
        <f>IFERROR(E56/'1. Opportunity Register'!P28,"")</f>
        <v>15.600798476979095</v>
      </c>
      <c r="J56" s="10" t="s">
        <v>106</v>
      </c>
      <c r="K56" s="10" t="s">
        <v>122</v>
      </c>
      <c r="L56" s="10" t="s">
        <v>155</v>
      </c>
      <c r="M56" s="1"/>
      <c r="N56" s="1"/>
    </row>
    <row r="57" spans="1:14" ht="43.5">
      <c r="A57" s="10" t="s">
        <v>200</v>
      </c>
      <c r="B57" s="10" t="s">
        <v>54</v>
      </c>
      <c r="C57" s="10" t="s">
        <v>50</v>
      </c>
      <c r="D57" s="10" t="s">
        <v>31</v>
      </c>
      <c r="E57" s="11">
        <v>306300</v>
      </c>
      <c r="F57" s="11">
        <v>268700</v>
      </c>
      <c r="G57" s="11">
        <f t="shared" si="0"/>
        <v>37600</v>
      </c>
      <c r="H57" s="12">
        <f t="shared" si="1"/>
        <v>0.13993301079270562</v>
      </c>
      <c r="I57" s="13">
        <f>IFERROR(E57/'1. Opportunity Register'!P31,"")</f>
        <v>1.3797359447565078</v>
      </c>
      <c r="J57" s="10" t="s">
        <v>126</v>
      </c>
      <c r="K57" s="10" t="s">
        <v>115</v>
      </c>
      <c r="L57" s="10" t="s">
        <v>118</v>
      </c>
      <c r="M57" s="1"/>
      <c r="N57" s="1"/>
    </row>
    <row r="58" spans="1:14" ht="43.5">
      <c r="A58" s="10" t="s">
        <v>207</v>
      </c>
      <c r="B58" s="10" t="s">
        <v>49</v>
      </c>
      <c r="C58" s="10" t="s">
        <v>50</v>
      </c>
      <c r="D58" s="10" t="s">
        <v>31</v>
      </c>
      <c r="E58" s="11">
        <v>36000</v>
      </c>
      <c r="F58" s="11">
        <v>33000</v>
      </c>
      <c r="G58" s="11">
        <f t="shared" si="0"/>
        <v>3000</v>
      </c>
      <c r="H58" s="12">
        <f t="shared" si="1"/>
        <v>9.0909090909090912E-2</v>
      </c>
      <c r="I58" s="13" t="str">
        <f>IFERROR(E58/'1. Opportunity Register'!P33,"")</f>
        <v/>
      </c>
      <c r="J58" s="10" t="s">
        <v>115</v>
      </c>
      <c r="K58" s="10" t="s">
        <v>116</v>
      </c>
      <c r="L58" s="10" t="s">
        <v>118</v>
      </c>
      <c r="M58" s="1"/>
      <c r="N58" s="1"/>
    </row>
    <row r="59" spans="1:14" ht="29">
      <c r="A59" s="10" t="s">
        <v>212</v>
      </c>
      <c r="B59" s="10" t="s">
        <v>64</v>
      </c>
      <c r="C59" s="10" t="s">
        <v>42</v>
      </c>
      <c r="D59" s="10" t="s">
        <v>23</v>
      </c>
      <c r="E59" s="11">
        <v>127100</v>
      </c>
      <c r="F59" s="11">
        <v>127100</v>
      </c>
      <c r="G59" s="11">
        <f t="shared" si="0"/>
        <v>0</v>
      </c>
      <c r="H59" s="12">
        <f t="shared" si="1"/>
        <v>0</v>
      </c>
      <c r="I59" s="13">
        <f>IFERROR(E59/'1. Opportunity Register'!P35,"")</f>
        <v>0.34009145811202413</v>
      </c>
      <c r="J59" s="10" t="s">
        <v>180</v>
      </c>
      <c r="K59" s="10" t="s">
        <v>126</v>
      </c>
      <c r="L59" s="10" t="s">
        <v>182</v>
      </c>
      <c r="M59" s="1"/>
      <c r="N59" s="1"/>
    </row>
    <row r="60" spans="1:14" ht="43.5">
      <c r="A60" s="10" t="s">
        <v>217</v>
      </c>
      <c r="B60" s="10" t="s">
        <v>25</v>
      </c>
      <c r="C60" s="10" t="s">
        <v>42</v>
      </c>
      <c r="D60" s="10" t="s">
        <v>31</v>
      </c>
      <c r="E60" s="11">
        <v>3034800</v>
      </c>
      <c r="F60" s="11">
        <v>2823100</v>
      </c>
      <c r="G60" s="11">
        <f t="shared" si="0"/>
        <v>211700</v>
      </c>
      <c r="H60" s="12">
        <f t="shared" si="1"/>
        <v>7.4988487832524528E-2</v>
      </c>
      <c r="I60" s="13">
        <f>IFERROR(E60/'1. Opportunity Register'!P37,"")</f>
        <v>6.7502252076915381</v>
      </c>
      <c r="J60" s="10" t="s">
        <v>126</v>
      </c>
      <c r="K60" s="10" t="s">
        <v>115</v>
      </c>
      <c r="L60" s="10" t="s">
        <v>118</v>
      </c>
      <c r="M60" s="1"/>
      <c r="N60" s="1"/>
    </row>
    <row r="61" spans="1:14" ht="43.5">
      <c r="A61" s="10" t="s">
        <v>222</v>
      </c>
      <c r="B61" s="10" t="s">
        <v>61</v>
      </c>
      <c r="C61" s="10" t="s">
        <v>34</v>
      </c>
      <c r="D61" s="10" t="s">
        <v>31</v>
      </c>
      <c r="E61" s="11">
        <v>819600</v>
      </c>
      <c r="F61" s="11">
        <v>741700</v>
      </c>
      <c r="G61" s="11">
        <f t="shared" si="0"/>
        <v>77900</v>
      </c>
      <c r="H61" s="12">
        <f t="shared" si="1"/>
        <v>0.10502898746123769</v>
      </c>
      <c r="I61" s="13">
        <f>IFERROR(E61/'1. Opportunity Register'!P39,"")</f>
        <v>1.5598147862676921</v>
      </c>
      <c r="J61" s="10" t="s">
        <v>115</v>
      </c>
      <c r="K61" s="10" t="s">
        <v>116</v>
      </c>
      <c r="L61" s="10" t="s">
        <v>118</v>
      </c>
      <c r="M61" s="1"/>
      <c r="N61" s="1"/>
    </row>
    <row r="62" spans="1:14" ht="29">
      <c r="A62" s="10" t="s">
        <v>224</v>
      </c>
      <c r="B62" s="10" t="s">
        <v>33</v>
      </c>
      <c r="C62" s="10" t="s">
        <v>50</v>
      </c>
      <c r="D62" s="10" t="s">
        <v>31</v>
      </c>
      <c r="E62" s="11">
        <v>4309800</v>
      </c>
      <c r="F62" s="11">
        <v>3848000</v>
      </c>
      <c r="G62" s="11">
        <f t="shared" si="0"/>
        <v>461800</v>
      </c>
      <c r="H62" s="12">
        <f t="shared" si="1"/>
        <v>0.12001039501039501</v>
      </c>
      <c r="I62" s="13">
        <f>IFERROR(E62/'1. Opportunity Register'!P40,"")</f>
        <v>7.6499259822002283</v>
      </c>
      <c r="J62" s="10" t="s">
        <v>106</v>
      </c>
      <c r="K62" s="10" t="s">
        <v>122</v>
      </c>
      <c r="L62" s="10" t="s">
        <v>118</v>
      </c>
      <c r="M62" s="1"/>
      <c r="N62" s="1"/>
    </row>
    <row r="63" spans="1:14" ht="29">
      <c r="A63" s="10" t="s">
        <v>226</v>
      </c>
      <c r="B63" s="10" t="s">
        <v>41</v>
      </c>
      <c r="C63" s="10" t="s">
        <v>26</v>
      </c>
      <c r="D63" s="10" t="s">
        <v>31</v>
      </c>
      <c r="E63" s="11">
        <v>3126800</v>
      </c>
      <c r="F63" s="11">
        <v>2481600</v>
      </c>
      <c r="G63" s="11">
        <f t="shared" si="0"/>
        <v>645200</v>
      </c>
      <c r="H63" s="12">
        <f t="shared" si="1"/>
        <v>0.25999355254674406</v>
      </c>
      <c r="I63" s="13">
        <f>IFERROR(E63/'1. Opportunity Register'!P41,"")</f>
        <v>5.1999886913383966</v>
      </c>
      <c r="J63" s="10" t="s">
        <v>116</v>
      </c>
      <c r="K63" s="10" t="s">
        <v>126</v>
      </c>
      <c r="L63" s="10" t="s">
        <v>155</v>
      </c>
      <c r="M63" s="1"/>
      <c r="N63" s="1"/>
    </row>
    <row r="64" spans="1:14" ht="43.5">
      <c r="A64" s="10" t="s">
        <v>111</v>
      </c>
      <c r="B64" s="10" t="s">
        <v>49</v>
      </c>
      <c r="C64" s="10" t="s">
        <v>26</v>
      </c>
      <c r="D64" s="10" t="s">
        <v>31</v>
      </c>
      <c r="E64" s="11">
        <v>54000</v>
      </c>
      <c r="F64" s="11">
        <v>49500</v>
      </c>
      <c r="G64" s="11">
        <f t="shared" si="0"/>
        <v>4500</v>
      </c>
      <c r="H64" s="12">
        <f t="shared" si="1"/>
        <v>9.0909090909090912E-2</v>
      </c>
      <c r="I64" s="13" t="str">
        <f>IFERROR(E64/'1. Opportunity Register'!P3,"")</f>
        <v/>
      </c>
      <c r="J64" s="10" t="s">
        <v>126</v>
      </c>
      <c r="K64" s="10" t="s">
        <v>115</v>
      </c>
      <c r="L64" s="10" t="s">
        <v>118</v>
      </c>
      <c r="M64" s="1"/>
      <c r="N64" s="1"/>
    </row>
    <row r="65" spans="1:14" ht="43.5">
      <c r="A65" s="10" t="s">
        <v>120</v>
      </c>
      <c r="B65" s="10" t="s">
        <v>61</v>
      </c>
      <c r="C65" s="10" t="s">
        <v>42</v>
      </c>
      <c r="D65" s="10" t="s">
        <v>31</v>
      </c>
      <c r="E65" s="11">
        <v>557800</v>
      </c>
      <c r="F65" s="11">
        <v>504800</v>
      </c>
      <c r="G65" s="11">
        <f t="shared" si="0"/>
        <v>53000</v>
      </c>
      <c r="H65" s="12">
        <f t="shared" si="1"/>
        <v>0.10499207606973059</v>
      </c>
      <c r="I65" s="13">
        <f>IFERROR(E65/'1. Opportunity Register'!P4,"")</f>
        <v>6.3485921103548746</v>
      </c>
      <c r="J65" s="10" t="s">
        <v>129</v>
      </c>
      <c r="K65" s="10" t="s">
        <v>106</v>
      </c>
      <c r="L65" s="10" t="s">
        <v>118</v>
      </c>
      <c r="M65" s="1"/>
      <c r="N65" s="1"/>
    </row>
    <row r="66" spans="1:14" ht="29">
      <c r="A66" s="10" t="s">
        <v>135</v>
      </c>
      <c r="B66" s="10" t="s">
        <v>49</v>
      </c>
      <c r="C66" s="10" t="s">
        <v>34</v>
      </c>
      <c r="D66" s="10" t="s">
        <v>31</v>
      </c>
      <c r="E66" s="11">
        <v>36000</v>
      </c>
      <c r="F66" s="11">
        <v>33000</v>
      </c>
      <c r="G66" s="11">
        <f t="shared" si="0"/>
        <v>3000</v>
      </c>
      <c r="H66" s="12">
        <f t="shared" si="1"/>
        <v>9.0909090909090912E-2</v>
      </c>
      <c r="I66" s="13" t="str">
        <f>IFERROR(E66/'1. Opportunity Register'!P8,"")</f>
        <v/>
      </c>
      <c r="J66" s="10" t="s">
        <v>122</v>
      </c>
      <c r="K66" s="10" t="s">
        <v>129</v>
      </c>
      <c r="L66" s="10" t="s">
        <v>118</v>
      </c>
      <c r="M66" s="1"/>
      <c r="N66" s="1"/>
    </row>
    <row r="67" spans="1:14" ht="43.5">
      <c r="A67" s="10" t="s">
        <v>137</v>
      </c>
      <c r="B67" s="10" t="s">
        <v>61</v>
      </c>
      <c r="C67" s="10" t="s">
        <v>50</v>
      </c>
      <c r="D67" s="10" t="s">
        <v>31</v>
      </c>
      <c r="E67" s="11">
        <v>54000</v>
      </c>
      <c r="F67" s="11">
        <v>48900</v>
      </c>
      <c r="G67" s="11">
        <f t="shared" si="0"/>
        <v>5100</v>
      </c>
      <c r="H67" s="12">
        <f t="shared" si="1"/>
        <v>0.10429447852760736</v>
      </c>
      <c r="I67" s="13">
        <f>IFERROR(E67/'1. Opportunity Register'!P9,"")</f>
        <v>0.19458267421455261</v>
      </c>
      <c r="J67" s="10" t="s">
        <v>126</v>
      </c>
      <c r="K67" s="10" t="s">
        <v>115</v>
      </c>
      <c r="L67" s="10" t="s">
        <v>118</v>
      </c>
      <c r="M67" s="1"/>
      <c r="N67" s="1"/>
    </row>
    <row r="68" spans="1:14" ht="43.5">
      <c r="A68" s="10" t="s">
        <v>143</v>
      </c>
      <c r="B68" s="10" t="s">
        <v>54</v>
      </c>
      <c r="C68" s="10" t="s">
        <v>42</v>
      </c>
      <c r="D68" s="10" t="s">
        <v>31</v>
      </c>
      <c r="E68" s="11">
        <v>83400</v>
      </c>
      <c r="F68" s="11">
        <v>73200</v>
      </c>
      <c r="G68" s="11">
        <f t="shared" si="0"/>
        <v>10200</v>
      </c>
      <c r="H68" s="12">
        <f t="shared" si="1"/>
        <v>0.13934426229508196</v>
      </c>
      <c r="I68" s="13">
        <f>IFERROR(E68/'1. Opportunity Register'!P11,"")</f>
        <v>0.23600723302742949</v>
      </c>
      <c r="J68" s="10" t="s">
        <v>115</v>
      </c>
      <c r="K68" s="10" t="s">
        <v>116</v>
      </c>
      <c r="L68" s="10" t="s">
        <v>118</v>
      </c>
      <c r="M68" s="1"/>
      <c r="N68" s="1"/>
    </row>
    <row r="69" spans="1:14" ht="29">
      <c r="A69" s="10" t="s">
        <v>244</v>
      </c>
      <c r="B69" s="10" t="s">
        <v>49</v>
      </c>
      <c r="C69" s="10" t="s">
        <v>42</v>
      </c>
      <c r="D69" s="10" t="s">
        <v>31</v>
      </c>
      <c r="E69" s="11">
        <v>18000</v>
      </c>
      <c r="F69" s="11">
        <v>16500</v>
      </c>
      <c r="G69" s="11">
        <f t="shared" si="0"/>
        <v>1500</v>
      </c>
      <c r="H69" s="12">
        <f t="shared" si="1"/>
        <v>9.0909090909090912E-2</v>
      </c>
      <c r="I69" s="13" t="str">
        <f>IFERROR(E69/'1. Opportunity Register'!P53,"")</f>
        <v/>
      </c>
      <c r="J69" s="10" t="s">
        <v>116</v>
      </c>
      <c r="K69" s="10" t="s">
        <v>126</v>
      </c>
      <c r="L69" s="10" t="s">
        <v>118</v>
      </c>
      <c r="M69" s="1"/>
      <c r="N69" s="1"/>
    </row>
  </sheetData>
  <mergeCells count="9">
    <mergeCell ref="A1:N1"/>
    <mergeCell ref="A3:C3"/>
    <mergeCell ref="A4:C5"/>
    <mergeCell ref="E3:G3"/>
    <mergeCell ref="E4:G5"/>
    <mergeCell ref="I3:K3"/>
    <mergeCell ref="I4:K5"/>
    <mergeCell ref="M3:N3"/>
    <mergeCell ref="M4:N5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A1:N44"/>
  <sheetViews>
    <sheetView showGridLines="0" topLeftCell="A11" workbookViewId="0">
      <selection activeCell="A37" sqref="A37:H44"/>
    </sheetView>
  </sheetViews>
  <sheetFormatPr defaultRowHeight="14"/>
  <cols>
    <col min="1" max="1" width="42" customWidth="1"/>
    <col min="2" max="7" width="14" customWidth="1"/>
    <col min="8" max="8" width="30" customWidth="1"/>
    <col min="9" max="14" width="14" customWidth="1"/>
  </cols>
  <sheetData>
    <row r="1" spans="1:14" ht="34" customHeight="1">
      <c r="A1" s="14" t="s">
        <v>304</v>
      </c>
      <c r="B1" s="14" t="s">
        <v>304</v>
      </c>
      <c r="C1" s="14" t="s">
        <v>304</v>
      </c>
      <c r="D1" s="14" t="s">
        <v>304</v>
      </c>
      <c r="E1" s="14" t="s">
        <v>304</v>
      </c>
      <c r="F1" s="14" t="s">
        <v>304</v>
      </c>
      <c r="G1" s="14" t="s">
        <v>304</v>
      </c>
      <c r="H1" s="14" t="s">
        <v>304</v>
      </c>
      <c r="I1" s="14" t="s">
        <v>304</v>
      </c>
      <c r="J1" s="14" t="s">
        <v>304</v>
      </c>
      <c r="K1" s="14" t="s">
        <v>304</v>
      </c>
      <c r="L1" s="14" t="s">
        <v>304</v>
      </c>
      <c r="M1" s="14" t="s">
        <v>304</v>
      </c>
      <c r="N1" s="14" t="s">
        <v>304</v>
      </c>
    </row>
    <row r="2" spans="1:14" ht="14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5">
      <c r="A3" s="19" t="s">
        <v>305</v>
      </c>
      <c r="B3" s="29" t="s">
        <v>305</v>
      </c>
      <c r="C3" s="20" t="s">
        <v>305</v>
      </c>
      <c r="D3" s="1"/>
      <c r="E3" s="19" t="s">
        <v>306</v>
      </c>
      <c r="F3" s="29" t="s">
        <v>306</v>
      </c>
      <c r="G3" s="20" t="s">
        <v>306</v>
      </c>
      <c r="H3" s="1"/>
      <c r="I3" s="19" t="s">
        <v>307</v>
      </c>
      <c r="J3" s="29" t="s">
        <v>307</v>
      </c>
      <c r="K3" s="20" t="s">
        <v>307</v>
      </c>
      <c r="L3" s="1"/>
      <c r="M3" s="19" t="s">
        <v>308</v>
      </c>
      <c r="N3" s="20" t="s">
        <v>308</v>
      </c>
    </row>
    <row r="4" spans="1:14" ht="14.5">
      <c r="A4" s="93">
        <f>AVERAGE('1. Opportunity Register'!$AB$2:$AB$61)</f>
        <v>2</v>
      </c>
      <c r="B4" s="94"/>
      <c r="C4" s="95"/>
      <c r="D4" s="1"/>
      <c r="E4" s="99">
        <f>AVERAGE('1. Opportunity Register'!$AC$2:$AC$61)</f>
        <v>4.25</v>
      </c>
      <c r="F4" s="100"/>
      <c r="G4" s="101"/>
      <c r="H4" s="1"/>
      <c r="I4" s="105">
        <f>AVERAGEIF('1. Opportunity Register'!$AM$2:$AM$61,"&gt;0")</f>
        <v>6.9696969696969697</v>
      </c>
      <c r="J4" s="106"/>
      <c r="K4" s="107"/>
      <c r="L4" s="1"/>
      <c r="M4" s="48">
        <f>COUNTIF('1. Opportunity Register'!$K$2:$K$61,"In Progress")+COUNTIF('1. Opportunity Register'!$K$2:$K$61,"Submitted")+COUNTIF('1. Opportunity Register'!$K$2:$K$61,"Awaiting Award")</f>
        <v>8</v>
      </c>
      <c r="N4" s="49"/>
    </row>
    <row r="5" spans="1:14" ht="14.5">
      <c r="A5" s="96"/>
      <c r="B5" s="97"/>
      <c r="C5" s="98"/>
      <c r="D5" s="1"/>
      <c r="E5" s="102"/>
      <c r="F5" s="103"/>
      <c r="G5" s="104"/>
      <c r="H5" s="1"/>
      <c r="I5" s="108"/>
      <c r="J5" s="109"/>
      <c r="K5" s="110"/>
      <c r="L5" s="1"/>
      <c r="M5" s="50"/>
      <c r="N5" s="51"/>
    </row>
    <row r="6" spans="1:14" ht="14.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4.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4.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4.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4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4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4.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4.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4.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4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4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.5">
      <c r="A26" s="1" t="s">
        <v>16</v>
      </c>
      <c r="B26" s="1" t="s">
        <v>309</v>
      </c>
      <c r="C26" s="1"/>
      <c r="D26" s="1"/>
      <c r="E26" s="1"/>
      <c r="F26" s="1"/>
      <c r="G26" s="1"/>
      <c r="H26" s="1" t="s">
        <v>19</v>
      </c>
      <c r="I26" s="1" t="s">
        <v>310</v>
      </c>
      <c r="J26" s="1"/>
      <c r="K26" s="1"/>
      <c r="L26" s="1"/>
      <c r="M26" s="1"/>
      <c r="N26" s="1"/>
    </row>
    <row r="27" spans="1:14" ht="14.5">
      <c r="A27" s="1" t="s">
        <v>24</v>
      </c>
      <c r="B27" s="1">
        <f>AVERAGEIF('8. Workflow Events'!$B$2:$B$241,A27,'8. Workflow Events'!$C$2:$C$241)</f>
        <v>2</v>
      </c>
      <c r="C27" s="1"/>
      <c r="D27" s="1"/>
      <c r="E27" s="1"/>
      <c r="F27" s="1"/>
      <c r="G27" s="1"/>
      <c r="H27" s="1" t="s">
        <v>27</v>
      </c>
      <c r="I27" s="1">
        <f>COUNTIFS('1. Opportunity Register'!$G$2:$G$61,H27,'1. Opportunity Register'!$K$2:$K$61,"In Progress")+COUNTIFS('1. Opportunity Register'!$G$2:$G$61,H27,'1. Opportunity Register'!$K$2:$K$61,"Submitted")+COUNTIFS('1. Opportunity Register'!$G$2:$G$61,H27,'1. Opportunity Register'!$K$2:$K$61,"Awaiting Award")</f>
        <v>2</v>
      </c>
      <c r="J27" s="1"/>
      <c r="K27" s="1"/>
      <c r="L27" s="1"/>
      <c r="M27" s="1"/>
      <c r="N27" s="1"/>
    </row>
    <row r="28" spans="1:14" ht="14.5">
      <c r="A28" s="1" t="s">
        <v>32</v>
      </c>
      <c r="B28" s="1">
        <f>AVERAGEIF('8. Workflow Events'!$B$2:$B$241,A28,'8. Workflow Events'!$C$2:$C$241)</f>
        <v>4.25</v>
      </c>
      <c r="C28" s="1"/>
      <c r="D28" s="1"/>
      <c r="E28" s="1"/>
      <c r="F28" s="1"/>
      <c r="G28" s="1"/>
      <c r="H28" s="1" t="s">
        <v>35</v>
      </c>
      <c r="I28" s="1">
        <f>COUNTIFS('1. Opportunity Register'!$G$2:$G$61,H28,'1. Opportunity Register'!$K$2:$K$61,"In Progress")+COUNTIFS('1. Opportunity Register'!$G$2:$G$61,H28,'1. Opportunity Register'!$K$2:$K$61,"Submitted")+COUNTIFS('1. Opportunity Register'!$G$2:$G$61,H28,'1. Opportunity Register'!$K$2:$K$61,"Awaiting Award")</f>
        <v>2</v>
      </c>
      <c r="J28" s="1"/>
      <c r="K28" s="1"/>
      <c r="L28" s="1"/>
      <c r="M28" s="1"/>
      <c r="N28" s="1"/>
    </row>
    <row r="29" spans="1:14" ht="14.5">
      <c r="A29" s="1" t="s">
        <v>40</v>
      </c>
      <c r="B29" s="1">
        <f>AVERAGEIF('8. Workflow Events'!$B$2:$B$241,A29,'8. Workflow Events'!$C$2:$C$241)</f>
        <v>2.1833333333333331</v>
      </c>
      <c r="C29" s="1"/>
      <c r="D29" s="1"/>
      <c r="E29" s="1"/>
      <c r="F29" s="1"/>
      <c r="G29" s="1"/>
      <c r="H29" s="1" t="s">
        <v>43</v>
      </c>
      <c r="I29" s="1">
        <f>COUNTIFS('1. Opportunity Register'!$G$2:$G$61,H29,'1. Opportunity Register'!$K$2:$K$61,"In Progress")+COUNTIFS('1. Opportunity Register'!$G$2:$G$61,H29,'1. Opportunity Register'!$K$2:$K$61,"Submitted")+COUNTIFS('1. Opportunity Register'!$G$2:$G$61,H29,'1. Opportunity Register'!$K$2:$K$61,"Awaiting Award")</f>
        <v>2</v>
      </c>
      <c r="J29" s="1"/>
      <c r="K29" s="1"/>
      <c r="L29" s="1"/>
      <c r="M29" s="1"/>
      <c r="N29" s="1"/>
    </row>
    <row r="30" spans="1:14" ht="14.5">
      <c r="A30" s="1" t="s">
        <v>48</v>
      </c>
      <c r="B30" s="1">
        <f>AVERAGEIF('8. Workflow Events'!$B$2:$B$241,A30,'8. Workflow Events'!$C$2:$C$241)</f>
        <v>1.65</v>
      </c>
      <c r="C30" s="1"/>
      <c r="D30" s="1"/>
      <c r="E30" s="1"/>
      <c r="F30" s="1"/>
      <c r="G30" s="1"/>
      <c r="H30" s="1" t="s">
        <v>51</v>
      </c>
      <c r="I30" s="1">
        <f>COUNTIFS('1. Opportunity Register'!$G$2:$G$61,H30,'1. Opportunity Register'!$K$2:$K$61,"In Progress")+COUNTIFS('1. Opportunity Register'!$G$2:$G$61,H30,'1. Opportunity Register'!$K$2:$K$61,"Submitted")+COUNTIFS('1. Opportunity Register'!$G$2:$G$61,H30,'1. Opportunity Register'!$K$2:$K$61,"Awaiting Award")</f>
        <v>2</v>
      </c>
      <c r="J30" s="1"/>
      <c r="K30" s="1"/>
      <c r="L30" s="1"/>
      <c r="M30" s="1"/>
      <c r="N30" s="1"/>
    </row>
    <row r="31" spans="1:14" ht="14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5">
      <c r="A36" s="1" t="s">
        <v>66</v>
      </c>
      <c r="B36" s="1" t="s">
        <v>16</v>
      </c>
      <c r="C36" s="1" t="s">
        <v>19</v>
      </c>
      <c r="D36" s="1" t="s">
        <v>69</v>
      </c>
      <c r="E36" s="1" t="s">
        <v>20</v>
      </c>
      <c r="F36" s="1" t="s">
        <v>96</v>
      </c>
      <c r="G36" s="1" t="s">
        <v>97</v>
      </c>
      <c r="H36" s="1" t="s">
        <v>98</v>
      </c>
      <c r="I36" s="1"/>
      <c r="J36" s="1"/>
      <c r="K36" s="1"/>
      <c r="L36" s="1"/>
      <c r="M36" s="1"/>
      <c r="N36" s="1"/>
    </row>
    <row r="37" spans="1:14" ht="29">
      <c r="A37" s="10" t="s">
        <v>246</v>
      </c>
      <c r="B37" s="10" t="s">
        <v>40</v>
      </c>
      <c r="C37" s="10" t="s">
        <v>27</v>
      </c>
      <c r="D37" s="136">
        <v>46251</v>
      </c>
      <c r="E37" s="10" t="s">
        <v>44</v>
      </c>
      <c r="F37" s="10">
        <v>9</v>
      </c>
      <c r="G37" s="10">
        <v>0</v>
      </c>
      <c r="H37" s="10" t="s">
        <v>247</v>
      </c>
      <c r="I37" s="1"/>
      <c r="J37" s="1"/>
      <c r="K37" s="1"/>
      <c r="L37" s="1"/>
      <c r="M37" s="1"/>
      <c r="N37" s="1"/>
    </row>
    <row r="38" spans="1:14" ht="29">
      <c r="A38" s="10" t="s">
        <v>250</v>
      </c>
      <c r="B38" s="10" t="s">
        <v>48</v>
      </c>
      <c r="C38" s="10" t="s">
        <v>35</v>
      </c>
      <c r="D38" s="136">
        <v>46253</v>
      </c>
      <c r="E38" s="10" t="s">
        <v>28</v>
      </c>
      <c r="F38" s="10">
        <v>6</v>
      </c>
      <c r="G38" s="10">
        <v>0</v>
      </c>
      <c r="H38" s="10" t="s">
        <v>247</v>
      </c>
      <c r="I38" s="1"/>
      <c r="J38" s="1"/>
      <c r="K38" s="1"/>
      <c r="L38" s="1"/>
      <c r="M38" s="1"/>
      <c r="N38" s="1"/>
    </row>
    <row r="39" spans="1:14" ht="29">
      <c r="A39" s="10" t="s">
        <v>157</v>
      </c>
      <c r="B39" s="10" t="s">
        <v>47</v>
      </c>
      <c r="C39" s="10" t="s">
        <v>43</v>
      </c>
      <c r="D39" s="136">
        <v>46237</v>
      </c>
      <c r="E39" s="10" t="s">
        <v>36</v>
      </c>
      <c r="F39" s="10">
        <v>5</v>
      </c>
      <c r="G39" s="10">
        <v>6</v>
      </c>
      <c r="H39" s="10" t="s">
        <v>253</v>
      </c>
      <c r="I39" s="1"/>
      <c r="J39" s="1"/>
      <c r="K39" s="1"/>
      <c r="L39" s="1"/>
      <c r="M39" s="1"/>
      <c r="N39" s="1"/>
    </row>
    <row r="40" spans="1:14" ht="29">
      <c r="A40" s="10" t="s">
        <v>255</v>
      </c>
      <c r="B40" s="10" t="s">
        <v>39</v>
      </c>
      <c r="C40" s="10" t="s">
        <v>51</v>
      </c>
      <c r="D40" s="136">
        <v>46270</v>
      </c>
      <c r="E40" s="10" t="s">
        <v>28</v>
      </c>
      <c r="F40" s="10">
        <v>7</v>
      </c>
      <c r="G40" s="10">
        <v>8</v>
      </c>
      <c r="H40" s="10" t="s">
        <v>256</v>
      </c>
      <c r="I40" s="1"/>
      <c r="J40" s="1"/>
      <c r="K40" s="1"/>
      <c r="L40" s="1"/>
      <c r="M40" s="1"/>
      <c r="N40" s="1"/>
    </row>
    <row r="41" spans="1:14" ht="29">
      <c r="A41" s="10" t="s">
        <v>163</v>
      </c>
      <c r="B41" s="10" t="s">
        <v>48</v>
      </c>
      <c r="C41" s="10" t="s">
        <v>27</v>
      </c>
      <c r="D41" s="136">
        <v>46272</v>
      </c>
      <c r="E41" s="10" t="s">
        <v>28</v>
      </c>
      <c r="F41" s="10">
        <v>5</v>
      </c>
      <c r="G41" s="10">
        <v>0</v>
      </c>
      <c r="H41" s="10" t="s">
        <v>247</v>
      </c>
      <c r="I41" s="1"/>
      <c r="J41" s="1"/>
      <c r="K41" s="1"/>
      <c r="L41" s="1"/>
      <c r="M41" s="1"/>
      <c r="N41" s="1"/>
    </row>
    <row r="42" spans="1:14" ht="29">
      <c r="A42" s="10" t="s">
        <v>166</v>
      </c>
      <c r="B42" s="10" t="s">
        <v>47</v>
      </c>
      <c r="C42" s="10" t="s">
        <v>35</v>
      </c>
      <c r="D42" s="136">
        <v>46274</v>
      </c>
      <c r="E42" s="10" t="s">
        <v>28</v>
      </c>
      <c r="F42" s="10">
        <v>4</v>
      </c>
      <c r="G42" s="10">
        <v>5</v>
      </c>
      <c r="H42" s="10" t="s">
        <v>253</v>
      </c>
      <c r="I42" s="1"/>
      <c r="J42" s="1"/>
      <c r="K42" s="1"/>
      <c r="L42" s="1"/>
      <c r="M42" s="1"/>
      <c r="N42" s="1"/>
    </row>
    <row r="43" spans="1:14" ht="29">
      <c r="A43" s="10" t="s">
        <v>168</v>
      </c>
      <c r="B43" s="10" t="s">
        <v>39</v>
      </c>
      <c r="C43" s="10" t="s">
        <v>43</v>
      </c>
      <c r="D43" s="136">
        <v>46276</v>
      </c>
      <c r="E43" s="10" t="s">
        <v>28</v>
      </c>
      <c r="F43" s="10">
        <v>6</v>
      </c>
      <c r="G43" s="10">
        <v>7</v>
      </c>
      <c r="H43" s="10" t="s">
        <v>256</v>
      </c>
      <c r="I43" s="1"/>
      <c r="J43" s="1"/>
      <c r="K43" s="1"/>
      <c r="L43" s="1"/>
      <c r="M43" s="1"/>
      <c r="N43" s="1"/>
    </row>
    <row r="44" spans="1:14" ht="29">
      <c r="A44" s="10" t="s">
        <v>171</v>
      </c>
      <c r="B44" s="10" t="s">
        <v>48</v>
      </c>
      <c r="C44" s="10" t="s">
        <v>51</v>
      </c>
      <c r="D44" s="136">
        <v>46278</v>
      </c>
      <c r="E44" s="10" t="s">
        <v>36</v>
      </c>
      <c r="F44" s="10">
        <v>8</v>
      </c>
      <c r="G44" s="10">
        <v>0</v>
      </c>
      <c r="H44" s="10" t="s">
        <v>247</v>
      </c>
      <c r="I44" s="1"/>
      <c r="J44" s="1"/>
      <c r="K44" s="1"/>
      <c r="L44" s="1"/>
      <c r="M44" s="1"/>
      <c r="N44" s="1"/>
    </row>
  </sheetData>
  <mergeCells count="9">
    <mergeCell ref="A1:N1"/>
    <mergeCell ref="A3:C3"/>
    <mergeCell ref="A4:C5"/>
    <mergeCell ref="E3:G3"/>
    <mergeCell ref="E4:G5"/>
    <mergeCell ref="I3:K3"/>
    <mergeCell ref="I4:K5"/>
    <mergeCell ref="M3:N3"/>
    <mergeCell ref="M4:N5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</sheetPr>
  <dimension ref="A1:J30"/>
  <sheetViews>
    <sheetView showGridLines="0" workbookViewId="0">
      <selection activeCell="C3" sqref="C3:D3"/>
    </sheetView>
  </sheetViews>
  <sheetFormatPr defaultRowHeight="14"/>
  <cols>
    <col min="1" max="2" width="16" customWidth="1"/>
    <col min="3" max="10" width="14" customWidth="1"/>
  </cols>
  <sheetData>
    <row r="1" spans="1:10" ht="34" customHeight="1">
      <c r="A1" s="14" t="s">
        <v>311</v>
      </c>
      <c r="B1" s="14" t="s">
        <v>311</v>
      </c>
      <c r="C1" s="14" t="s">
        <v>311</v>
      </c>
      <c r="D1" s="14" t="s">
        <v>311</v>
      </c>
      <c r="E1" s="14" t="s">
        <v>311</v>
      </c>
      <c r="F1" s="14" t="s">
        <v>311</v>
      </c>
      <c r="G1" s="14" t="s">
        <v>311</v>
      </c>
      <c r="H1" s="14" t="s">
        <v>311</v>
      </c>
      <c r="I1" s="14" t="s">
        <v>311</v>
      </c>
      <c r="J1" s="14" t="s">
        <v>311</v>
      </c>
    </row>
    <row r="2" spans="1:10" ht="14.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5">
      <c r="A3" s="16" t="s">
        <v>312</v>
      </c>
      <c r="B3" s="16" t="s">
        <v>312</v>
      </c>
      <c r="C3" s="74" t="s">
        <v>145</v>
      </c>
      <c r="D3" s="18" t="s">
        <v>101</v>
      </c>
      <c r="E3" s="1"/>
      <c r="F3" s="1"/>
      <c r="G3" s="1"/>
      <c r="H3" s="1"/>
      <c r="I3" s="1"/>
      <c r="J3" s="1"/>
    </row>
    <row r="4" spans="1:10" ht="14.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4.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4.5">
      <c r="A6" s="111" t="s">
        <v>66</v>
      </c>
      <c r="B6" s="112" t="s">
        <v>66</v>
      </c>
      <c r="C6" s="113" t="str">
        <f>IFERROR(INDEX('1. Opportunity Register'!$B$2:$B$61,MATCH($C$3,'1. Opportunity Register'!$A$2:$A$61,0)),"")</f>
        <v>Stark Facilities Group – Event Security Coverage</v>
      </c>
      <c r="D6" s="114"/>
      <c r="E6" s="114"/>
      <c r="F6" s="114"/>
      <c r="G6" s="114"/>
      <c r="H6" s="114"/>
      <c r="I6" s="114"/>
      <c r="J6" s="115"/>
    </row>
    <row r="7" spans="1:10" ht="14.5">
      <c r="A7" s="111" t="s">
        <v>67</v>
      </c>
      <c r="B7" s="112" t="s">
        <v>67</v>
      </c>
      <c r="C7" s="113" t="str">
        <f>IFERROR(INDEX('1. Opportunity Register'!$C$2:$C$61,MATCH($C$3,'1. Opportunity Register'!$A$2:$A$61,0)),"")</f>
        <v>Stark Facilities Group</v>
      </c>
      <c r="D7" s="114"/>
      <c r="E7" s="114"/>
      <c r="F7" s="114"/>
      <c r="G7" s="114"/>
      <c r="H7" s="114"/>
      <c r="I7" s="114"/>
      <c r="J7" s="115"/>
    </row>
    <row r="8" spans="1:10" ht="14.5">
      <c r="A8" s="111" t="s">
        <v>22</v>
      </c>
      <c r="B8" s="112" t="s">
        <v>22</v>
      </c>
      <c r="C8" s="113" t="str">
        <f>IFERROR(INDEX('1. Opportunity Register'!$D$2:$D$61,MATCH($C$3,'1. Opportunity Register'!$A$2:$A$61,0)),"")</f>
        <v>Commercial</v>
      </c>
      <c r="D8" s="114"/>
      <c r="E8" s="114"/>
      <c r="F8" s="114"/>
      <c r="G8" s="114"/>
      <c r="H8" s="114"/>
      <c r="I8" s="114"/>
      <c r="J8" s="115"/>
    </row>
    <row r="9" spans="1:10" ht="14.5">
      <c r="A9" s="111" t="s">
        <v>17</v>
      </c>
      <c r="B9" s="112" t="s">
        <v>17</v>
      </c>
      <c r="C9" s="113" t="str">
        <f>IFERROR(INDEX('1. Opportunity Register'!$E$2:$E$61,MATCH($C$3,'1. Opportunity Register'!$A$2:$A$61,0)),"")</f>
        <v>Security</v>
      </c>
      <c r="D9" s="114"/>
      <c r="E9" s="114"/>
      <c r="F9" s="114"/>
      <c r="G9" s="114"/>
      <c r="H9" s="114"/>
      <c r="I9" s="114"/>
      <c r="J9" s="115"/>
    </row>
    <row r="10" spans="1:10" ht="14.5">
      <c r="A10" s="111" t="s">
        <v>18</v>
      </c>
      <c r="B10" s="112" t="s">
        <v>18</v>
      </c>
      <c r="C10" s="113" t="str">
        <f>IFERROR(INDEX('1. Opportunity Register'!$F$2:$F$61,MATCH($C$3,'1. Opportunity Register'!$A$2:$A$61,0)),"")</f>
        <v>Hudson Valley</v>
      </c>
      <c r="D10" s="114"/>
      <c r="E10" s="114"/>
      <c r="F10" s="114"/>
      <c r="G10" s="114"/>
      <c r="H10" s="114"/>
      <c r="I10" s="114"/>
      <c r="J10" s="115"/>
    </row>
    <row r="11" spans="1:10" ht="14.5">
      <c r="A11" s="111" t="s">
        <v>19</v>
      </c>
      <c r="B11" s="112" t="s">
        <v>19</v>
      </c>
      <c r="C11" s="113" t="str">
        <f>IFERROR(INDEX('1. Opportunity Register'!$G$2:$G$61,MATCH($C$3,'1. Opportunity Register'!$A$2:$A$61,0)),"")</f>
        <v>Jordan Ellis</v>
      </c>
      <c r="D11" s="114"/>
      <c r="E11" s="114"/>
      <c r="F11" s="114"/>
      <c r="G11" s="114"/>
      <c r="H11" s="114"/>
      <c r="I11" s="114"/>
      <c r="J11" s="115"/>
    </row>
    <row r="12" spans="1:10" ht="14.5">
      <c r="A12" s="111" t="s">
        <v>69</v>
      </c>
      <c r="B12" s="112" t="s">
        <v>69</v>
      </c>
      <c r="C12" s="116">
        <f>IFERROR(INDEX('1. Opportunity Register'!$I$2:$I$61,MATCH($C$3,'1. Opportunity Register'!$A$2:$A$61,0)),"")</f>
        <v>46001</v>
      </c>
      <c r="D12" s="117"/>
      <c r="E12" s="117"/>
      <c r="F12" s="117"/>
      <c r="G12" s="117"/>
      <c r="H12" s="117"/>
      <c r="I12" s="117"/>
      <c r="J12" s="118"/>
    </row>
    <row r="13" spans="1:10" ht="14.5">
      <c r="A13" s="111" t="s">
        <v>70</v>
      </c>
      <c r="B13" s="112" t="s">
        <v>70</v>
      </c>
      <c r="C13" s="113" t="str">
        <f>IFERROR(INDEX('1. Opportunity Register'!$J$2:$J$61,MATCH($C$3,'1. Opportunity Register'!$A$2:$A$61,0)),"")</f>
        <v>Closed – Awarded</v>
      </c>
      <c r="D13" s="114"/>
      <c r="E13" s="114"/>
      <c r="F13" s="114"/>
      <c r="G13" s="114"/>
      <c r="H13" s="114"/>
      <c r="I13" s="114"/>
      <c r="J13" s="115"/>
    </row>
    <row r="14" spans="1:10" ht="14.5">
      <c r="A14" s="111" t="s">
        <v>15</v>
      </c>
      <c r="B14" s="112" t="s">
        <v>15</v>
      </c>
      <c r="C14" s="113" t="str">
        <f>IFERROR(INDEX('1. Opportunity Register'!$K$2:$K$61,MATCH($C$3,'1. Opportunity Register'!$A$2:$A$61,0)),"")</f>
        <v>Lost</v>
      </c>
      <c r="D14" s="114"/>
      <c r="E14" s="114"/>
      <c r="F14" s="114"/>
      <c r="G14" s="114"/>
      <c r="H14" s="114"/>
      <c r="I14" s="114"/>
      <c r="J14" s="115"/>
    </row>
    <row r="15" spans="1:10" ht="14.5">
      <c r="A15" s="111" t="s">
        <v>313</v>
      </c>
      <c r="B15" s="112" t="s">
        <v>313</v>
      </c>
      <c r="C15" s="119">
        <f>IFERROR(INDEX('1. Opportunity Register'!$O$2:$O$61,MATCH($C$3,'1. Opportunity Register'!$A$2:$A$61,0)),"")</f>
        <v>341000</v>
      </c>
      <c r="D15" s="120"/>
      <c r="E15" s="120"/>
      <c r="F15" s="120"/>
      <c r="G15" s="120"/>
      <c r="H15" s="120"/>
      <c r="I15" s="120"/>
      <c r="J15" s="121"/>
    </row>
    <row r="16" spans="1:10" ht="14.5">
      <c r="A16" s="111" t="s">
        <v>75</v>
      </c>
      <c r="B16" s="112" t="s">
        <v>75</v>
      </c>
      <c r="C16" s="113">
        <f>IFERROR(INDEX('1. Opportunity Register'!$P$2:$P$61,MATCH($C$3,'1. Opportunity Register'!$A$2:$A$61,0)),"")</f>
        <v>0</v>
      </c>
      <c r="D16" s="114"/>
      <c r="E16" s="114"/>
      <c r="F16" s="114"/>
      <c r="G16" s="114"/>
      <c r="H16" s="114"/>
      <c r="I16" s="114"/>
      <c r="J16" s="115"/>
    </row>
    <row r="17" spans="1:10" ht="14.5">
      <c r="A17" s="111" t="s">
        <v>76</v>
      </c>
      <c r="B17" s="112" t="s">
        <v>76</v>
      </c>
      <c r="C17" s="113">
        <f>IFERROR(INDEX('1. Opportunity Register'!$Q$2:$Q$61,MATCH($C$3,'1. Opportunity Register'!$A$2:$A$61,0)),"")</f>
        <v>1</v>
      </c>
      <c r="D17" s="114"/>
      <c r="E17" s="114"/>
      <c r="F17" s="114"/>
      <c r="G17" s="114"/>
      <c r="H17" s="114"/>
      <c r="I17" s="114"/>
      <c r="J17" s="115"/>
    </row>
    <row r="18" spans="1:10" ht="14.5">
      <c r="A18" s="111" t="s">
        <v>314</v>
      </c>
      <c r="B18" s="112" t="s">
        <v>314</v>
      </c>
      <c r="C18" s="113">
        <f>IFERROR(INDEX('1. Opportunity Register'!$R$2:$R$61,MATCH($C$3,'1. Opportunity Register'!$A$2:$A$61,0)),"")</f>
        <v>24</v>
      </c>
      <c r="D18" s="114"/>
      <c r="E18" s="114"/>
      <c r="F18" s="114"/>
      <c r="G18" s="114"/>
      <c r="H18" s="114"/>
      <c r="I18" s="114"/>
      <c r="J18" s="115"/>
    </row>
    <row r="19" spans="1:10" ht="14.5">
      <c r="A19" s="111" t="s">
        <v>284</v>
      </c>
      <c r="B19" s="112" t="s">
        <v>284</v>
      </c>
      <c r="C19" s="113" t="str">
        <f>IFERROR(INDEX('1. Opportunity Register'!$S$2:$S$61,MATCH($C$3,'1. Opportunity Register'!$A$2:$A$61,0)),"")</f>
        <v>No</v>
      </c>
      <c r="D19" s="114"/>
      <c r="E19" s="114"/>
      <c r="F19" s="114"/>
      <c r="G19" s="114"/>
      <c r="H19" s="114"/>
      <c r="I19" s="114"/>
      <c r="J19" s="115"/>
    </row>
    <row r="20" spans="1:10" ht="14.5">
      <c r="A20" s="111" t="s">
        <v>315</v>
      </c>
      <c r="B20" s="112" t="s">
        <v>315</v>
      </c>
      <c r="C20" s="113" t="str">
        <f>IFERROR(INDEX('1. Opportunity Register'!$T$2:$T$61,MATCH($C$3,'1. Opportunity Register'!$A$2:$A$61,0)),"")</f>
        <v>No</v>
      </c>
      <c r="D20" s="114"/>
      <c r="E20" s="114"/>
      <c r="F20" s="114"/>
      <c r="G20" s="114"/>
      <c r="H20" s="114"/>
      <c r="I20" s="114"/>
      <c r="J20" s="115"/>
    </row>
    <row r="21" spans="1:10" ht="14.5">
      <c r="A21" s="111" t="s">
        <v>80</v>
      </c>
      <c r="B21" s="112" t="s">
        <v>80</v>
      </c>
      <c r="C21" s="113" t="str">
        <f>IFERROR(INDEX('1. Opportunity Register'!$U$2:$U$61,MATCH($C$3,'1. Opportunity Register'!$A$2:$A$61,0)),"")</f>
        <v>High</v>
      </c>
      <c r="D21" s="114"/>
      <c r="E21" s="114"/>
      <c r="F21" s="114"/>
      <c r="G21" s="114"/>
      <c r="H21" s="114"/>
      <c r="I21" s="114"/>
      <c r="J21" s="115"/>
    </row>
    <row r="22" spans="1:10" ht="14.5">
      <c r="A22" s="111" t="s">
        <v>21</v>
      </c>
      <c r="B22" s="112" t="s">
        <v>21</v>
      </c>
      <c r="C22" s="113">
        <f>IFERROR(INDEX('1. Opportunity Register'!$V$2:$V$61,MATCH($C$3,'1. Opportunity Register'!$A$2:$A$61,0)),"")</f>
        <v>0</v>
      </c>
      <c r="D22" s="114"/>
      <c r="E22" s="114"/>
      <c r="F22" s="114"/>
      <c r="G22" s="114"/>
      <c r="H22" s="114"/>
      <c r="I22" s="114"/>
      <c r="J22" s="115"/>
    </row>
    <row r="23" spans="1:10" ht="38" customHeight="1">
      <c r="A23" s="111" t="s">
        <v>81</v>
      </c>
      <c r="B23" s="112" t="s">
        <v>81</v>
      </c>
      <c r="C23" s="113" t="str">
        <f>IFERROR(INDEX('1. Opportunity Register'!$W$2:$W$61,MATCH($C$3,'1. Opportunity Register'!$A$2:$A$61,0)),"")</f>
        <v>Pursuit aligned with the fictional bidder's service strategy; requires leadership review of operating model, compliance exposure, and staffing assumptions.</v>
      </c>
      <c r="D23" s="114"/>
      <c r="E23" s="114"/>
      <c r="F23" s="114"/>
      <c r="G23" s="114"/>
      <c r="H23" s="114"/>
      <c r="I23" s="114"/>
      <c r="J23" s="115"/>
    </row>
    <row r="24" spans="1:10" ht="38" customHeight="1">
      <c r="A24" s="111" t="s">
        <v>82</v>
      </c>
      <c r="B24" s="112" t="s">
        <v>82</v>
      </c>
      <c r="C24" s="119">
        <f>IFERROR(INDEX('1. Opportunity Register'!$X$2:$X$61,MATCH($C$3,'1. Opportunity Register'!$A$2:$A$61,0)),"")</f>
        <v>341000</v>
      </c>
      <c r="D24" s="120"/>
      <c r="E24" s="120"/>
      <c r="F24" s="120"/>
      <c r="G24" s="120"/>
      <c r="H24" s="120"/>
      <c r="I24" s="120"/>
      <c r="J24" s="121"/>
    </row>
    <row r="25" spans="1:10" ht="14.5">
      <c r="A25" s="111" t="s">
        <v>83</v>
      </c>
      <c r="B25" s="112" t="s">
        <v>83</v>
      </c>
      <c r="C25" s="119">
        <f>IFERROR(INDEX('1. Opportunity Register'!$Y$2:$Y$61,MATCH($C$3,'1. Opportunity Register'!$A$2:$A$61,0)),"")</f>
        <v>289000</v>
      </c>
      <c r="D25" s="120"/>
      <c r="E25" s="120"/>
      <c r="F25" s="120"/>
      <c r="G25" s="120"/>
      <c r="H25" s="120"/>
      <c r="I25" s="120"/>
      <c r="J25" s="121"/>
    </row>
    <row r="26" spans="1:10" ht="14.5">
      <c r="A26" s="111" t="s">
        <v>84</v>
      </c>
      <c r="B26" s="112" t="s">
        <v>84</v>
      </c>
      <c r="C26" s="113" t="str">
        <f>IFERROR(INDEX('1. Opportunity Register'!$Z$2:$Z$61,MATCH($C$3,'1. Opportunity Register'!$A$2:$A$61,0)),"")</f>
        <v>Sentinel Operations</v>
      </c>
      <c r="D26" s="114"/>
      <c r="E26" s="114"/>
      <c r="F26" s="114"/>
      <c r="G26" s="114"/>
      <c r="H26" s="114"/>
      <c r="I26" s="114"/>
      <c r="J26" s="115"/>
    </row>
    <row r="27" spans="1:10" ht="14.5">
      <c r="A27" s="111" t="s">
        <v>85</v>
      </c>
      <c r="B27" s="112" t="s">
        <v>85</v>
      </c>
      <c r="C27" s="113" t="str">
        <f>IFERROR(INDEX('1. Opportunity Register'!$AA$2:$AA$61,MATCH($C$3,'1. Opportunity Register'!$A$2:$A$61,0)),"")</f>
        <v>Stark Facilities Group</v>
      </c>
      <c r="D27" s="114"/>
      <c r="E27" s="114"/>
      <c r="F27" s="114"/>
      <c r="G27" s="114"/>
      <c r="H27" s="114"/>
      <c r="I27" s="114"/>
      <c r="J27" s="115"/>
    </row>
    <row r="28" spans="1:10" ht="14.5">
      <c r="A28" s="111" t="s">
        <v>98</v>
      </c>
      <c r="B28" s="112" t="s">
        <v>98</v>
      </c>
      <c r="C28" s="113" t="str">
        <f>IFERROR(INDEX('1. Opportunity Register'!$AN$2:$AN$61,MATCH($C$3,'1. Opportunity Register'!$A$2:$A$61,0)),"")</f>
        <v>Request debrief or tabulation</v>
      </c>
      <c r="D28" s="114"/>
      <c r="E28" s="114"/>
      <c r="F28" s="114"/>
      <c r="G28" s="114"/>
      <c r="H28" s="114"/>
      <c r="I28" s="114"/>
      <c r="J28" s="115"/>
    </row>
    <row r="29" spans="1:10" ht="38" customHeight="1">
      <c r="A29" s="111" t="s">
        <v>99</v>
      </c>
      <c r="B29" s="112" t="s">
        <v>99</v>
      </c>
      <c r="C29" s="113" t="str">
        <f>IFERROR(INDEX('1. Opportunity Register'!$AO$2:$AO$61,MATCH($C$3,'1. Opportunity Register'!$A$2:$A$61,0)),"")</f>
        <v>Result provides a usable market benchmark for future pricing.</v>
      </c>
      <c r="D29" s="114"/>
      <c r="E29" s="114"/>
      <c r="F29" s="114"/>
      <c r="G29" s="114"/>
      <c r="H29" s="114"/>
      <c r="I29" s="114"/>
      <c r="J29" s="115"/>
    </row>
    <row r="30" spans="1:10" ht="38" customHeight="1"/>
  </sheetData>
  <mergeCells count="51">
    <mergeCell ref="A28:B28"/>
    <mergeCell ref="C28:J28"/>
    <mergeCell ref="A29:B29"/>
    <mergeCell ref="C29:J29"/>
    <mergeCell ref="A25:B25"/>
    <mergeCell ref="C25:J25"/>
    <mergeCell ref="A26:B26"/>
    <mergeCell ref="C26:J26"/>
    <mergeCell ref="A27:B27"/>
    <mergeCell ref="C27:J27"/>
    <mergeCell ref="A22:B22"/>
    <mergeCell ref="C22:J22"/>
    <mergeCell ref="A23:B23"/>
    <mergeCell ref="C23:J23"/>
    <mergeCell ref="A24:B24"/>
    <mergeCell ref="C24:J24"/>
    <mergeCell ref="A19:B19"/>
    <mergeCell ref="C19:J19"/>
    <mergeCell ref="A20:B20"/>
    <mergeCell ref="C20:J20"/>
    <mergeCell ref="A21:B21"/>
    <mergeCell ref="C21:J21"/>
    <mergeCell ref="A16:B16"/>
    <mergeCell ref="C16:J16"/>
    <mergeCell ref="A17:B17"/>
    <mergeCell ref="C17:J17"/>
    <mergeCell ref="A18:B18"/>
    <mergeCell ref="C18:J18"/>
    <mergeCell ref="A13:B13"/>
    <mergeCell ref="C13:J13"/>
    <mergeCell ref="A14:B14"/>
    <mergeCell ref="C14:J14"/>
    <mergeCell ref="A15:B15"/>
    <mergeCell ref="C15:J15"/>
    <mergeCell ref="A10:B10"/>
    <mergeCell ref="C10:J10"/>
    <mergeCell ref="A11:B11"/>
    <mergeCell ref="C11:J11"/>
    <mergeCell ref="A12:B12"/>
    <mergeCell ref="C12:J12"/>
    <mergeCell ref="A7:B7"/>
    <mergeCell ref="C7:J7"/>
    <mergeCell ref="A8:B8"/>
    <mergeCell ref="C8:J8"/>
    <mergeCell ref="A9:B9"/>
    <mergeCell ref="C9:J9"/>
    <mergeCell ref="A1:J1"/>
    <mergeCell ref="A3:B3"/>
    <mergeCell ref="C3:D3"/>
    <mergeCell ref="A6:B6"/>
    <mergeCell ref="C6:J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'1. Opportunity Register'!$A$2:$A$61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499984740745262"/>
  </sheetPr>
  <dimension ref="A1:D241"/>
  <sheetViews>
    <sheetView showGridLines="0" workbookViewId="0"/>
  </sheetViews>
  <sheetFormatPr defaultRowHeight="14"/>
  <cols>
    <col min="1" max="4" width="24" customWidth="1"/>
  </cols>
  <sheetData>
    <row r="1" spans="1:4" ht="14.5">
      <c r="A1" s="137" t="s">
        <v>316</v>
      </c>
      <c r="B1" s="2" t="s">
        <v>16</v>
      </c>
      <c r="C1" s="2" t="s">
        <v>262</v>
      </c>
      <c r="D1" s="2" t="s">
        <v>19</v>
      </c>
    </row>
    <row r="2" spans="1:4" ht="14.5">
      <c r="A2" s="1" t="s">
        <v>101</v>
      </c>
      <c r="B2" s="1" t="s">
        <v>24</v>
      </c>
      <c r="C2" s="1">
        <v>1</v>
      </c>
      <c r="D2" s="1" t="s">
        <v>27</v>
      </c>
    </row>
    <row r="3" spans="1:4" ht="14.5">
      <c r="A3" s="1" t="s">
        <v>101</v>
      </c>
      <c r="B3" s="1" t="s">
        <v>32</v>
      </c>
      <c r="C3" s="1">
        <v>7</v>
      </c>
      <c r="D3" s="1" t="s">
        <v>27</v>
      </c>
    </row>
    <row r="4" spans="1:4" ht="14.5">
      <c r="A4" s="1" t="s">
        <v>101</v>
      </c>
      <c r="B4" s="1" t="s">
        <v>40</v>
      </c>
      <c r="C4" s="1">
        <v>0</v>
      </c>
      <c r="D4" s="1" t="s">
        <v>27</v>
      </c>
    </row>
    <row r="5" spans="1:4" ht="14.5">
      <c r="A5" s="1" t="s">
        <v>101</v>
      </c>
      <c r="B5" s="1" t="s">
        <v>48</v>
      </c>
      <c r="C5" s="1">
        <v>0</v>
      </c>
      <c r="D5" s="1" t="s">
        <v>27</v>
      </c>
    </row>
    <row r="6" spans="1:4" ht="14.5">
      <c r="A6" s="1" t="s">
        <v>110</v>
      </c>
      <c r="B6" s="1" t="s">
        <v>24</v>
      </c>
      <c r="C6" s="1">
        <v>2</v>
      </c>
      <c r="D6" s="1" t="s">
        <v>35</v>
      </c>
    </row>
    <row r="7" spans="1:4" ht="14.5">
      <c r="A7" s="1" t="s">
        <v>110</v>
      </c>
      <c r="B7" s="1" t="s">
        <v>32</v>
      </c>
      <c r="C7" s="1">
        <v>3</v>
      </c>
      <c r="D7" s="1" t="s">
        <v>35</v>
      </c>
    </row>
    <row r="8" spans="1:4" ht="14.5">
      <c r="A8" s="1" t="s">
        <v>110</v>
      </c>
      <c r="B8" s="1" t="s">
        <v>40</v>
      </c>
      <c r="C8" s="1">
        <v>3</v>
      </c>
      <c r="D8" s="1" t="s">
        <v>35</v>
      </c>
    </row>
    <row r="9" spans="1:4" ht="14.5">
      <c r="A9" s="1" t="s">
        <v>110</v>
      </c>
      <c r="B9" s="1" t="s">
        <v>48</v>
      </c>
      <c r="C9" s="1">
        <v>3</v>
      </c>
      <c r="D9" s="1" t="s">
        <v>35</v>
      </c>
    </row>
    <row r="10" spans="1:4" ht="14.5">
      <c r="A10" s="1" t="s">
        <v>119</v>
      </c>
      <c r="B10" s="1" t="s">
        <v>24</v>
      </c>
      <c r="C10" s="1">
        <v>3</v>
      </c>
      <c r="D10" s="1" t="s">
        <v>43</v>
      </c>
    </row>
    <row r="11" spans="1:4" ht="14.5">
      <c r="A11" s="1" t="s">
        <v>119</v>
      </c>
      <c r="B11" s="1" t="s">
        <v>32</v>
      </c>
      <c r="C11" s="1">
        <v>4</v>
      </c>
      <c r="D11" s="1" t="s">
        <v>43</v>
      </c>
    </row>
    <row r="12" spans="1:4" ht="14.5">
      <c r="A12" s="1" t="s">
        <v>119</v>
      </c>
      <c r="B12" s="1" t="s">
        <v>40</v>
      </c>
      <c r="C12" s="1">
        <v>0</v>
      </c>
      <c r="D12" s="1" t="s">
        <v>43</v>
      </c>
    </row>
    <row r="13" spans="1:4" ht="14.5">
      <c r="A13" s="1" t="s">
        <v>119</v>
      </c>
      <c r="B13" s="1" t="s">
        <v>48</v>
      </c>
      <c r="C13" s="1">
        <v>0</v>
      </c>
      <c r="D13" s="1" t="s">
        <v>43</v>
      </c>
    </row>
    <row r="14" spans="1:4" ht="14.5">
      <c r="A14" s="1" t="s">
        <v>123</v>
      </c>
      <c r="B14" s="1" t="s">
        <v>24</v>
      </c>
      <c r="C14" s="1">
        <v>1</v>
      </c>
      <c r="D14" s="1" t="s">
        <v>51</v>
      </c>
    </row>
    <row r="15" spans="1:4" ht="14.5">
      <c r="A15" s="1" t="s">
        <v>123</v>
      </c>
      <c r="B15" s="1" t="s">
        <v>32</v>
      </c>
      <c r="C15" s="1">
        <v>5</v>
      </c>
      <c r="D15" s="1" t="s">
        <v>51</v>
      </c>
    </row>
    <row r="16" spans="1:4" ht="14.5">
      <c r="A16" s="1" t="s">
        <v>123</v>
      </c>
      <c r="B16" s="1" t="s">
        <v>40</v>
      </c>
      <c r="C16" s="1">
        <v>5</v>
      </c>
      <c r="D16" s="1" t="s">
        <v>51</v>
      </c>
    </row>
    <row r="17" spans="1:4" ht="14.5">
      <c r="A17" s="1" t="s">
        <v>123</v>
      </c>
      <c r="B17" s="1" t="s">
        <v>48</v>
      </c>
      <c r="C17" s="1">
        <v>2</v>
      </c>
      <c r="D17" s="1" t="s">
        <v>51</v>
      </c>
    </row>
    <row r="18" spans="1:4" ht="14.5">
      <c r="A18" s="1" t="s">
        <v>127</v>
      </c>
      <c r="B18" s="1" t="s">
        <v>24</v>
      </c>
      <c r="C18" s="1">
        <v>2</v>
      </c>
      <c r="D18" s="1" t="s">
        <v>27</v>
      </c>
    </row>
    <row r="19" spans="1:4" ht="14.5">
      <c r="A19" s="1" t="s">
        <v>127</v>
      </c>
      <c r="B19" s="1" t="s">
        <v>32</v>
      </c>
      <c r="C19" s="1">
        <v>2</v>
      </c>
      <c r="D19" s="1" t="s">
        <v>27</v>
      </c>
    </row>
    <row r="20" spans="1:4" ht="14.5">
      <c r="A20" s="1" t="s">
        <v>127</v>
      </c>
      <c r="B20" s="1" t="s">
        <v>40</v>
      </c>
      <c r="C20" s="1">
        <v>0</v>
      </c>
      <c r="D20" s="1" t="s">
        <v>27</v>
      </c>
    </row>
    <row r="21" spans="1:4" ht="14.5">
      <c r="A21" s="1" t="s">
        <v>127</v>
      </c>
      <c r="B21" s="1" t="s">
        <v>48</v>
      </c>
      <c r="C21" s="1">
        <v>0</v>
      </c>
      <c r="D21" s="1" t="s">
        <v>27</v>
      </c>
    </row>
    <row r="22" spans="1:4" ht="14.5">
      <c r="A22" s="1" t="s">
        <v>131</v>
      </c>
      <c r="B22" s="1" t="s">
        <v>24</v>
      </c>
      <c r="C22" s="1">
        <v>3</v>
      </c>
      <c r="D22" s="1" t="s">
        <v>35</v>
      </c>
    </row>
    <row r="23" spans="1:4" ht="14.5">
      <c r="A23" s="1" t="s">
        <v>131</v>
      </c>
      <c r="B23" s="1" t="s">
        <v>32</v>
      </c>
      <c r="C23" s="1">
        <v>3</v>
      </c>
      <c r="D23" s="1" t="s">
        <v>35</v>
      </c>
    </row>
    <row r="24" spans="1:4" ht="14.5">
      <c r="A24" s="1" t="s">
        <v>131</v>
      </c>
      <c r="B24" s="1" t="s">
        <v>40</v>
      </c>
      <c r="C24" s="1">
        <v>3</v>
      </c>
      <c r="D24" s="1" t="s">
        <v>35</v>
      </c>
    </row>
    <row r="25" spans="1:4" ht="14.5">
      <c r="A25" s="1" t="s">
        <v>131</v>
      </c>
      <c r="B25" s="1" t="s">
        <v>48</v>
      </c>
      <c r="C25" s="1">
        <v>4</v>
      </c>
      <c r="D25" s="1" t="s">
        <v>35</v>
      </c>
    </row>
    <row r="26" spans="1:4" ht="14.5">
      <c r="A26" s="1" t="s">
        <v>134</v>
      </c>
      <c r="B26" s="1" t="s">
        <v>24</v>
      </c>
      <c r="C26" s="1">
        <v>1</v>
      </c>
      <c r="D26" s="1" t="s">
        <v>43</v>
      </c>
    </row>
    <row r="27" spans="1:4" ht="14.5">
      <c r="A27" s="1" t="s">
        <v>134</v>
      </c>
      <c r="B27" s="1" t="s">
        <v>32</v>
      </c>
      <c r="C27" s="1">
        <v>4</v>
      </c>
      <c r="D27" s="1" t="s">
        <v>43</v>
      </c>
    </row>
    <row r="28" spans="1:4" ht="14.5">
      <c r="A28" s="1" t="s">
        <v>134</v>
      </c>
      <c r="B28" s="1" t="s">
        <v>40</v>
      </c>
      <c r="C28" s="1">
        <v>4</v>
      </c>
      <c r="D28" s="1" t="s">
        <v>43</v>
      </c>
    </row>
    <row r="29" spans="1:4" ht="14.5">
      <c r="A29" s="1" t="s">
        <v>134</v>
      </c>
      <c r="B29" s="1" t="s">
        <v>48</v>
      </c>
      <c r="C29" s="1">
        <v>2</v>
      </c>
      <c r="D29" s="1" t="s">
        <v>43</v>
      </c>
    </row>
    <row r="30" spans="1:4" ht="14.5">
      <c r="A30" s="1" t="s">
        <v>136</v>
      </c>
      <c r="B30" s="1" t="s">
        <v>24</v>
      </c>
      <c r="C30" s="1">
        <v>2</v>
      </c>
      <c r="D30" s="1" t="s">
        <v>51</v>
      </c>
    </row>
    <row r="31" spans="1:4" ht="14.5">
      <c r="A31" s="1" t="s">
        <v>136</v>
      </c>
      <c r="B31" s="1" t="s">
        <v>32</v>
      </c>
      <c r="C31" s="1">
        <v>5</v>
      </c>
      <c r="D31" s="1" t="s">
        <v>51</v>
      </c>
    </row>
    <row r="32" spans="1:4" ht="14.5">
      <c r="A32" s="1" t="s">
        <v>136</v>
      </c>
      <c r="B32" s="1" t="s">
        <v>40</v>
      </c>
      <c r="C32" s="1">
        <v>5</v>
      </c>
      <c r="D32" s="1" t="s">
        <v>51</v>
      </c>
    </row>
    <row r="33" spans="1:4" ht="14.5">
      <c r="A33" s="1" t="s">
        <v>136</v>
      </c>
      <c r="B33" s="1" t="s">
        <v>48</v>
      </c>
      <c r="C33" s="1">
        <v>3</v>
      </c>
      <c r="D33" s="1" t="s">
        <v>51</v>
      </c>
    </row>
    <row r="34" spans="1:4" ht="14.5">
      <c r="A34" s="1" t="s">
        <v>138</v>
      </c>
      <c r="B34" s="1" t="s">
        <v>24</v>
      </c>
      <c r="C34" s="1">
        <v>3</v>
      </c>
      <c r="D34" s="1" t="s">
        <v>27</v>
      </c>
    </row>
    <row r="35" spans="1:4" ht="14.5">
      <c r="A35" s="1" t="s">
        <v>138</v>
      </c>
      <c r="B35" s="1" t="s">
        <v>32</v>
      </c>
      <c r="C35" s="1">
        <v>2</v>
      </c>
      <c r="D35" s="1" t="s">
        <v>27</v>
      </c>
    </row>
    <row r="36" spans="1:4" ht="14.5">
      <c r="A36" s="1" t="s">
        <v>138</v>
      </c>
      <c r="B36" s="1" t="s">
        <v>40</v>
      </c>
      <c r="C36" s="1">
        <v>0</v>
      </c>
      <c r="D36" s="1" t="s">
        <v>27</v>
      </c>
    </row>
    <row r="37" spans="1:4" ht="14.5">
      <c r="A37" s="1" t="s">
        <v>138</v>
      </c>
      <c r="B37" s="1" t="s">
        <v>48</v>
      </c>
      <c r="C37" s="1">
        <v>0</v>
      </c>
      <c r="D37" s="1" t="s">
        <v>27</v>
      </c>
    </row>
    <row r="38" spans="1:4" ht="14.5">
      <c r="A38" s="1" t="s">
        <v>142</v>
      </c>
      <c r="B38" s="1" t="s">
        <v>24</v>
      </c>
      <c r="C38" s="1">
        <v>1</v>
      </c>
      <c r="D38" s="1" t="s">
        <v>35</v>
      </c>
    </row>
    <row r="39" spans="1:4" ht="14.5">
      <c r="A39" s="1" t="s">
        <v>142</v>
      </c>
      <c r="B39" s="1" t="s">
        <v>32</v>
      </c>
      <c r="C39" s="1">
        <v>3</v>
      </c>
      <c r="D39" s="1" t="s">
        <v>35</v>
      </c>
    </row>
    <row r="40" spans="1:4" ht="14.5">
      <c r="A40" s="1" t="s">
        <v>142</v>
      </c>
      <c r="B40" s="1" t="s">
        <v>40</v>
      </c>
      <c r="C40" s="1">
        <v>0</v>
      </c>
      <c r="D40" s="1" t="s">
        <v>35</v>
      </c>
    </row>
    <row r="41" spans="1:4" ht="14.5">
      <c r="A41" s="1" t="s">
        <v>142</v>
      </c>
      <c r="B41" s="1" t="s">
        <v>48</v>
      </c>
      <c r="C41" s="1">
        <v>0</v>
      </c>
      <c r="D41" s="1" t="s">
        <v>35</v>
      </c>
    </row>
    <row r="42" spans="1:4" ht="14.5">
      <c r="A42" s="1" t="s">
        <v>145</v>
      </c>
      <c r="B42" s="1" t="s">
        <v>24</v>
      </c>
      <c r="C42" s="1">
        <v>2</v>
      </c>
      <c r="D42" s="1" t="s">
        <v>43</v>
      </c>
    </row>
    <row r="43" spans="1:4" ht="14.5">
      <c r="A43" s="1" t="s">
        <v>145</v>
      </c>
      <c r="B43" s="1" t="s">
        <v>32</v>
      </c>
      <c r="C43" s="1">
        <v>7</v>
      </c>
      <c r="D43" s="1" t="s">
        <v>43</v>
      </c>
    </row>
    <row r="44" spans="1:4" ht="14.5">
      <c r="A44" s="1" t="s">
        <v>145</v>
      </c>
      <c r="B44" s="1" t="s">
        <v>40</v>
      </c>
      <c r="C44" s="1">
        <v>4</v>
      </c>
      <c r="D44" s="1" t="s">
        <v>43</v>
      </c>
    </row>
    <row r="45" spans="1:4" ht="14.5">
      <c r="A45" s="1" t="s">
        <v>145</v>
      </c>
      <c r="B45" s="1" t="s">
        <v>48</v>
      </c>
      <c r="C45" s="1">
        <v>3</v>
      </c>
      <c r="D45" s="1" t="s">
        <v>43</v>
      </c>
    </row>
    <row r="46" spans="1:4" ht="14.5">
      <c r="A46" s="1" t="s">
        <v>149</v>
      </c>
      <c r="B46" s="1" t="s">
        <v>24</v>
      </c>
      <c r="C46" s="1">
        <v>3</v>
      </c>
      <c r="D46" s="1" t="s">
        <v>51</v>
      </c>
    </row>
    <row r="47" spans="1:4" ht="14.5">
      <c r="A47" s="1" t="s">
        <v>149</v>
      </c>
      <c r="B47" s="1" t="s">
        <v>32</v>
      </c>
      <c r="C47" s="1">
        <v>5</v>
      </c>
      <c r="D47" s="1" t="s">
        <v>51</v>
      </c>
    </row>
    <row r="48" spans="1:4" ht="14.5">
      <c r="A48" s="1" t="s">
        <v>149</v>
      </c>
      <c r="B48" s="1" t="s">
        <v>40</v>
      </c>
      <c r="C48" s="1">
        <v>0</v>
      </c>
      <c r="D48" s="1" t="s">
        <v>51</v>
      </c>
    </row>
    <row r="49" spans="1:4" ht="14.5">
      <c r="A49" s="1" t="s">
        <v>149</v>
      </c>
      <c r="B49" s="1" t="s">
        <v>48</v>
      </c>
      <c r="C49" s="1">
        <v>0</v>
      </c>
      <c r="D49" s="1" t="s">
        <v>51</v>
      </c>
    </row>
    <row r="50" spans="1:4" ht="14.5">
      <c r="A50" s="1" t="s">
        <v>151</v>
      </c>
      <c r="B50" s="1" t="s">
        <v>24</v>
      </c>
      <c r="C50" s="1">
        <v>1</v>
      </c>
      <c r="D50" s="1" t="s">
        <v>27</v>
      </c>
    </row>
    <row r="51" spans="1:4" ht="14.5">
      <c r="A51" s="1" t="s">
        <v>151</v>
      </c>
      <c r="B51" s="1" t="s">
        <v>32</v>
      </c>
      <c r="C51" s="1">
        <v>2</v>
      </c>
      <c r="D51" s="1" t="s">
        <v>27</v>
      </c>
    </row>
    <row r="52" spans="1:4" ht="14.5">
      <c r="A52" s="1" t="s">
        <v>151</v>
      </c>
      <c r="B52" s="1" t="s">
        <v>40</v>
      </c>
      <c r="C52" s="1">
        <v>0</v>
      </c>
      <c r="D52" s="1" t="s">
        <v>27</v>
      </c>
    </row>
    <row r="53" spans="1:4" ht="14.5">
      <c r="A53" s="1" t="s">
        <v>151</v>
      </c>
      <c r="B53" s="1" t="s">
        <v>48</v>
      </c>
      <c r="C53" s="1">
        <v>0</v>
      </c>
      <c r="D53" s="1" t="s">
        <v>27</v>
      </c>
    </row>
    <row r="54" spans="1:4" ht="14.5">
      <c r="A54" s="1" t="s">
        <v>153</v>
      </c>
      <c r="B54" s="1" t="s">
        <v>24</v>
      </c>
      <c r="C54" s="1">
        <v>2</v>
      </c>
      <c r="D54" s="1" t="s">
        <v>35</v>
      </c>
    </row>
    <row r="55" spans="1:4" ht="14.5">
      <c r="A55" s="1" t="s">
        <v>153</v>
      </c>
      <c r="B55" s="1" t="s">
        <v>32</v>
      </c>
      <c r="C55" s="1">
        <v>8</v>
      </c>
      <c r="D55" s="1" t="s">
        <v>35</v>
      </c>
    </row>
    <row r="56" spans="1:4" ht="14.5">
      <c r="A56" s="1" t="s">
        <v>153</v>
      </c>
      <c r="B56" s="1" t="s">
        <v>40</v>
      </c>
      <c r="C56" s="1">
        <v>3</v>
      </c>
      <c r="D56" s="1" t="s">
        <v>35</v>
      </c>
    </row>
    <row r="57" spans="1:4" ht="14.5">
      <c r="A57" s="1" t="s">
        <v>153</v>
      </c>
      <c r="B57" s="1" t="s">
        <v>48</v>
      </c>
      <c r="C57" s="1">
        <v>3</v>
      </c>
      <c r="D57" s="1" t="s">
        <v>35</v>
      </c>
    </row>
    <row r="58" spans="1:4" ht="14.5">
      <c r="A58" s="1" t="s">
        <v>156</v>
      </c>
      <c r="B58" s="1" t="s">
        <v>24</v>
      </c>
      <c r="C58" s="1">
        <v>3</v>
      </c>
      <c r="D58" s="1" t="s">
        <v>43</v>
      </c>
    </row>
    <row r="59" spans="1:4" ht="14.5">
      <c r="A59" s="1" t="s">
        <v>156</v>
      </c>
      <c r="B59" s="1" t="s">
        <v>32</v>
      </c>
      <c r="C59" s="1">
        <v>4</v>
      </c>
      <c r="D59" s="1" t="s">
        <v>43</v>
      </c>
    </row>
    <row r="60" spans="1:4" ht="14.5">
      <c r="A60" s="1" t="s">
        <v>156</v>
      </c>
      <c r="B60" s="1" t="s">
        <v>40</v>
      </c>
      <c r="C60" s="1">
        <v>4</v>
      </c>
      <c r="D60" s="1" t="s">
        <v>43</v>
      </c>
    </row>
    <row r="61" spans="1:4" ht="14.5">
      <c r="A61" s="1" t="s">
        <v>156</v>
      </c>
      <c r="B61" s="1" t="s">
        <v>48</v>
      </c>
      <c r="C61" s="1">
        <v>4</v>
      </c>
      <c r="D61" s="1" t="s">
        <v>43</v>
      </c>
    </row>
    <row r="62" spans="1:4" ht="14.5">
      <c r="A62" s="1" t="s">
        <v>159</v>
      </c>
      <c r="B62" s="1" t="s">
        <v>24</v>
      </c>
      <c r="C62" s="1">
        <v>1</v>
      </c>
      <c r="D62" s="1" t="s">
        <v>51</v>
      </c>
    </row>
    <row r="63" spans="1:4" ht="14.5">
      <c r="A63" s="1" t="s">
        <v>159</v>
      </c>
      <c r="B63" s="1" t="s">
        <v>32</v>
      </c>
      <c r="C63" s="1">
        <v>5</v>
      </c>
      <c r="D63" s="1" t="s">
        <v>51</v>
      </c>
    </row>
    <row r="64" spans="1:4" ht="14.5">
      <c r="A64" s="1" t="s">
        <v>159</v>
      </c>
      <c r="B64" s="1" t="s">
        <v>40</v>
      </c>
      <c r="C64" s="1">
        <v>5</v>
      </c>
      <c r="D64" s="1" t="s">
        <v>51</v>
      </c>
    </row>
    <row r="65" spans="1:4" ht="14.5">
      <c r="A65" s="1" t="s">
        <v>159</v>
      </c>
      <c r="B65" s="1" t="s">
        <v>48</v>
      </c>
      <c r="C65" s="1">
        <v>2</v>
      </c>
      <c r="D65" s="1" t="s">
        <v>51</v>
      </c>
    </row>
    <row r="66" spans="1:4" ht="14.5">
      <c r="A66" s="1" t="s">
        <v>162</v>
      </c>
      <c r="B66" s="1" t="s">
        <v>24</v>
      </c>
      <c r="C66" s="1">
        <v>2</v>
      </c>
      <c r="D66" s="1" t="s">
        <v>27</v>
      </c>
    </row>
    <row r="67" spans="1:4" ht="14.5">
      <c r="A67" s="1" t="s">
        <v>162</v>
      </c>
      <c r="B67" s="1" t="s">
        <v>32</v>
      </c>
      <c r="C67" s="1">
        <v>2</v>
      </c>
      <c r="D67" s="1" t="s">
        <v>27</v>
      </c>
    </row>
    <row r="68" spans="1:4" ht="14.5">
      <c r="A68" s="1" t="s">
        <v>162</v>
      </c>
      <c r="B68" s="1" t="s">
        <v>40</v>
      </c>
      <c r="C68" s="1">
        <v>0</v>
      </c>
      <c r="D68" s="1" t="s">
        <v>27</v>
      </c>
    </row>
    <row r="69" spans="1:4" ht="14.5">
      <c r="A69" s="1" t="s">
        <v>162</v>
      </c>
      <c r="B69" s="1" t="s">
        <v>48</v>
      </c>
      <c r="C69" s="1">
        <v>0</v>
      </c>
      <c r="D69" s="1" t="s">
        <v>27</v>
      </c>
    </row>
    <row r="70" spans="1:4" ht="14.5">
      <c r="A70" s="1" t="s">
        <v>165</v>
      </c>
      <c r="B70" s="1" t="s">
        <v>24</v>
      </c>
      <c r="C70" s="1">
        <v>3</v>
      </c>
      <c r="D70" s="1" t="s">
        <v>35</v>
      </c>
    </row>
    <row r="71" spans="1:4" ht="14.5">
      <c r="A71" s="1" t="s">
        <v>165</v>
      </c>
      <c r="B71" s="1" t="s">
        <v>32</v>
      </c>
      <c r="C71" s="1">
        <v>3</v>
      </c>
      <c r="D71" s="1" t="s">
        <v>35</v>
      </c>
    </row>
    <row r="72" spans="1:4" ht="14.5">
      <c r="A72" s="1" t="s">
        <v>165</v>
      </c>
      <c r="B72" s="1" t="s">
        <v>40</v>
      </c>
      <c r="C72" s="1">
        <v>3</v>
      </c>
      <c r="D72" s="1" t="s">
        <v>35</v>
      </c>
    </row>
    <row r="73" spans="1:4" ht="14.5">
      <c r="A73" s="1" t="s">
        <v>165</v>
      </c>
      <c r="B73" s="1" t="s">
        <v>48</v>
      </c>
      <c r="C73" s="1">
        <v>4</v>
      </c>
      <c r="D73" s="1" t="s">
        <v>35</v>
      </c>
    </row>
    <row r="74" spans="1:4" ht="14.5">
      <c r="A74" s="1" t="s">
        <v>167</v>
      </c>
      <c r="B74" s="1" t="s">
        <v>24</v>
      </c>
      <c r="C74" s="1">
        <v>1</v>
      </c>
      <c r="D74" s="1" t="s">
        <v>43</v>
      </c>
    </row>
    <row r="75" spans="1:4" ht="14.5">
      <c r="A75" s="1" t="s">
        <v>167</v>
      </c>
      <c r="B75" s="1" t="s">
        <v>32</v>
      </c>
      <c r="C75" s="1">
        <v>4</v>
      </c>
      <c r="D75" s="1" t="s">
        <v>43</v>
      </c>
    </row>
    <row r="76" spans="1:4" ht="14.5">
      <c r="A76" s="1" t="s">
        <v>167</v>
      </c>
      <c r="B76" s="1" t="s">
        <v>40</v>
      </c>
      <c r="C76" s="1">
        <v>0</v>
      </c>
      <c r="D76" s="1" t="s">
        <v>43</v>
      </c>
    </row>
    <row r="77" spans="1:4" ht="14.5">
      <c r="A77" s="1" t="s">
        <v>167</v>
      </c>
      <c r="B77" s="1" t="s">
        <v>48</v>
      </c>
      <c r="C77" s="1">
        <v>0</v>
      </c>
      <c r="D77" s="1" t="s">
        <v>43</v>
      </c>
    </row>
    <row r="78" spans="1:4" ht="14.5">
      <c r="A78" s="1" t="s">
        <v>170</v>
      </c>
      <c r="B78" s="1" t="s">
        <v>24</v>
      </c>
      <c r="C78" s="1">
        <v>2</v>
      </c>
      <c r="D78" s="1" t="s">
        <v>51</v>
      </c>
    </row>
    <row r="79" spans="1:4" ht="14.5">
      <c r="A79" s="1" t="s">
        <v>170</v>
      </c>
      <c r="B79" s="1" t="s">
        <v>32</v>
      </c>
      <c r="C79" s="1">
        <v>5</v>
      </c>
      <c r="D79" s="1" t="s">
        <v>51</v>
      </c>
    </row>
    <row r="80" spans="1:4" ht="14.5">
      <c r="A80" s="1" t="s">
        <v>170</v>
      </c>
      <c r="B80" s="1" t="s">
        <v>40</v>
      </c>
      <c r="C80" s="1">
        <v>5</v>
      </c>
      <c r="D80" s="1" t="s">
        <v>51</v>
      </c>
    </row>
    <row r="81" spans="1:4" ht="14.5">
      <c r="A81" s="1" t="s">
        <v>170</v>
      </c>
      <c r="B81" s="1" t="s">
        <v>48</v>
      </c>
      <c r="C81" s="1">
        <v>3</v>
      </c>
      <c r="D81" s="1" t="s">
        <v>51</v>
      </c>
    </row>
    <row r="82" spans="1:4" ht="14.5">
      <c r="A82" s="1" t="s">
        <v>173</v>
      </c>
      <c r="B82" s="1" t="s">
        <v>24</v>
      </c>
      <c r="C82" s="1">
        <v>3</v>
      </c>
      <c r="D82" s="1" t="s">
        <v>27</v>
      </c>
    </row>
    <row r="83" spans="1:4" ht="14.5">
      <c r="A83" s="1" t="s">
        <v>173</v>
      </c>
      <c r="B83" s="1" t="s">
        <v>32</v>
      </c>
      <c r="C83" s="1">
        <v>8</v>
      </c>
      <c r="D83" s="1" t="s">
        <v>27</v>
      </c>
    </row>
    <row r="84" spans="1:4" ht="14.5">
      <c r="A84" s="1" t="s">
        <v>173</v>
      </c>
      <c r="B84" s="1" t="s">
        <v>40</v>
      </c>
      <c r="C84" s="1">
        <v>0</v>
      </c>
      <c r="D84" s="1" t="s">
        <v>27</v>
      </c>
    </row>
    <row r="85" spans="1:4" ht="14.5">
      <c r="A85" s="1" t="s">
        <v>173</v>
      </c>
      <c r="B85" s="1" t="s">
        <v>48</v>
      </c>
      <c r="C85" s="1">
        <v>0</v>
      </c>
      <c r="D85" s="1" t="s">
        <v>27</v>
      </c>
    </row>
    <row r="86" spans="1:4" ht="14.5">
      <c r="A86" s="1" t="s">
        <v>176</v>
      </c>
      <c r="B86" s="1" t="s">
        <v>24</v>
      </c>
      <c r="C86" s="1">
        <v>1</v>
      </c>
      <c r="D86" s="1" t="s">
        <v>35</v>
      </c>
    </row>
    <row r="87" spans="1:4" ht="14.5">
      <c r="A87" s="1" t="s">
        <v>176</v>
      </c>
      <c r="B87" s="1" t="s">
        <v>32</v>
      </c>
      <c r="C87" s="1">
        <v>3</v>
      </c>
      <c r="D87" s="1" t="s">
        <v>35</v>
      </c>
    </row>
    <row r="88" spans="1:4" ht="14.5">
      <c r="A88" s="1" t="s">
        <v>176</v>
      </c>
      <c r="B88" s="1" t="s">
        <v>40</v>
      </c>
      <c r="C88" s="1">
        <v>3</v>
      </c>
      <c r="D88" s="1" t="s">
        <v>35</v>
      </c>
    </row>
    <row r="89" spans="1:4" ht="14.5">
      <c r="A89" s="1" t="s">
        <v>176</v>
      </c>
      <c r="B89" s="1" t="s">
        <v>48</v>
      </c>
      <c r="C89" s="1">
        <v>2</v>
      </c>
      <c r="D89" s="1" t="s">
        <v>35</v>
      </c>
    </row>
    <row r="90" spans="1:4" ht="14.5">
      <c r="A90" s="1" t="s">
        <v>178</v>
      </c>
      <c r="B90" s="1" t="s">
        <v>24</v>
      </c>
      <c r="C90" s="1">
        <v>2</v>
      </c>
      <c r="D90" s="1" t="s">
        <v>43</v>
      </c>
    </row>
    <row r="91" spans="1:4" ht="14.5">
      <c r="A91" s="1" t="s">
        <v>178</v>
      </c>
      <c r="B91" s="1" t="s">
        <v>32</v>
      </c>
      <c r="C91" s="1">
        <v>4</v>
      </c>
      <c r="D91" s="1" t="s">
        <v>43</v>
      </c>
    </row>
    <row r="92" spans="1:4" ht="14.5">
      <c r="A92" s="1" t="s">
        <v>178</v>
      </c>
      <c r="B92" s="1" t="s">
        <v>40</v>
      </c>
      <c r="C92" s="1">
        <v>4</v>
      </c>
      <c r="D92" s="1" t="s">
        <v>43</v>
      </c>
    </row>
    <row r="93" spans="1:4" ht="14.5">
      <c r="A93" s="1" t="s">
        <v>178</v>
      </c>
      <c r="B93" s="1" t="s">
        <v>48</v>
      </c>
      <c r="C93" s="1">
        <v>3</v>
      </c>
      <c r="D93" s="1" t="s">
        <v>43</v>
      </c>
    </row>
    <row r="94" spans="1:4" ht="14.5">
      <c r="A94" s="1" t="s">
        <v>183</v>
      </c>
      <c r="B94" s="1" t="s">
        <v>24</v>
      </c>
      <c r="C94" s="1">
        <v>3</v>
      </c>
      <c r="D94" s="1" t="s">
        <v>51</v>
      </c>
    </row>
    <row r="95" spans="1:4" ht="14.5">
      <c r="A95" s="1" t="s">
        <v>183</v>
      </c>
      <c r="B95" s="1" t="s">
        <v>32</v>
      </c>
      <c r="C95" s="1">
        <v>5</v>
      </c>
      <c r="D95" s="1" t="s">
        <v>51</v>
      </c>
    </row>
    <row r="96" spans="1:4" ht="14.5">
      <c r="A96" s="1" t="s">
        <v>183</v>
      </c>
      <c r="B96" s="1" t="s">
        <v>40</v>
      </c>
      <c r="C96" s="1">
        <v>5</v>
      </c>
      <c r="D96" s="1" t="s">
        <v>51</v>
      </c>
    </row>
    <row r="97" spans="1:4" ht="14.5">
      <c r="A97" s="1" t="s">
        <v>183</v>
      </c>
      <c r="B97" s="1" t="s">
        <v>48</v>
      </c>
      <c r="C97" s="1">
        <v>4</v>
      </c>
      <c r="D97" s="1" t="s">
        <v>51</v>
      </c>
    </row>
    <row r="98" spans="1:4" ht="14.5">
      <c r="A98" s="1" t="s">
        <v>186</v>
      </c>
      <c r="B98" s="1" t="s">
        <v>24</v>
      </c>
      <c r="C98" s="1">
        <v>1</v>
      </c>
      <c r="D98" s="1" t="s">
        <v>27</v>
      </c>
    </row>
    <row r="99" spans="1:4" ht="14.5">
      <c r="A99" s="1" t="s">
        <v>186</v>
      </c>
      <c r="B99" s="1" t="s">
        <v>32</v>
      </c>
      <c r="C99" s="1">
        <v>2</v>
      </c>
      <c r="D99" s="1" t="s">
        <v>27</v>
      </c>
    </row>
    <row r="100" spans="1:4" ht="14.5">
      <c r="A100" s="1" t="s">
        <v>186</v>
      </c>
      <c r="B100" s="1" t="s">
        <v>40</v>
      </c>
      <c r="C100" s="1">
        <v>0</v>
      </c>
      <c r="D100" s="1" t="s">
        <v>27</v>
      </c>
    </row>
    <row r="101" spans="1:4" ht="14.5">
      <c r="A101" s="1" t="s">
        <v>186</v>
      </c>
      <c r="B101" s="1" t="s">
        <v>48</v>
      </c>
      <c r="C101" s="1">
        <v>0</v>
      </c>
      <c r="D101" s="1" t="s">
        <v>27</v>
      </c>
    </row>
    <row r="102" spans="1:4" ht="14.5">
      <c r="A102" s="1" t="s">
        <v>189</v>
      </c>
      <c r="B102" s="1" t="s">
        <v>24</v>
      </c>
      <c r="C102" s="1">
        <v>2</v>
      </c>
      <c r="D102" s="1" t="s">
        <v>35</v>
      </c>
    </row>
    <row r="103" spans="1:4" ht="14.5">
      <c r="A103" s="1" t="s">
        <v>189</v>
      </c>
      <c r="B103" s="1" t="s">
        <v>32</v>
      </c>
      <c r="C103" s="1">
        <v>3</v>
      </c>
      <c r="D103" s="1" t="s">
        <v>35</v>
      </c>
    </row>
    <row r="104" spans="1:4" ht="14.5">
      <c r="A104" s="1" t="s">
        <v>189</v>
      </c>
      <c r="B104" s="1" t="s">
        <v>40</v>
      </c>
      <c r="C104" s="1">
        <v>3</v>
      </c>
      <c r="D104" s="1" t="s">
        <v>35</v>
      </c>
    </row>
    <row r="105" spans="1:4" ht="14.5">
      <c r="A105" s="1" t="s">
        <v>189</v>
      </c>
      <c r="B105" s="1" t="s">
        <v>48</v>
      </c>
      <c r="C105" s="1">
        <v>3</v>
      </c>
      <c r="D105" s="1" t="s">
        <v>35</v>
      </c>
    </row>
    <row r="106" spans="1:4" ht="14.5">
      <c r="A106" s="1" t="s">
        <v>192</v>
      </c>
      <c r="B106" s="1" t="s">
        <v>24</v>
      </c>
      <c r="C106" s="1">
        <v>3</v>
      </c>
      <c r="D106" s="1" t="s">
        <v>43</v>
      </c>
    </row>
    <row r="107" spans="1:4" ht="14.5">
      <c r="A107" s="1" t="s">
        <v>192</v>
      </c>
      <c r="B107" s="1" t="s">
        <v>32</v>
      </c>
      <c r="C107" s="1">
        <v>9</v>
      </c>
      <c r="D107" s="1" t="s">
        <v>43</v>
      </c>
    </row>
    <row r="108" spans="1:4" ht="14.5">
      <c r="A108" s="1" t="s">
        <v>192</v>
      </c>
      <c r="B108" s="1" t="s">
        <v>40</v>
      </c>
      <c r="C108" s="1">
        <v>4</v>
      </c>
      <c r="D108" s="1" t="s">
        <v>43</v>
      </c>
    </row>
    <row r="109" spans="1:4" ht="14.5">
      <c r="A109" s="1" t="s">
        <v>192</v>
      </c>
      <c r="B109" s="1" t="s">
        <v>48</v>
      </c>
      <c r="C109" s="1">
        <v>4</v>
      </c>
      <c r="D109" s="1" t="s">
        <v>43</v>
      </c>
    </row>
    <row r="110" spans="1:4" ht="14.5">
      <c r="A110" s="1" t="s">
        <v>194</v>
      </c>
      <c r="B110" s="1" t="s">
        <v>24</v>
      </c>
      <c r="C110" s="1">
        <v>1</v>
      </c>
      <c r="D110" s="1" t="s">
        <v>51</v>
      </c>
    </row>
    <row r="111" spans="1:4" ht="14.5">
      <c r="A111" s="1" t="s">
        <v>194</v>
      </c>
      <c r="B111" s="1" t="s">
        <v>32</v>
      </c>
      <c r="C111" s="1">
        <v>5</v>
      </c>
      <c r="D111" s="1" t="s">
        <v>51</v>
      </c>
    </row>
    <row r="112" spans="1:4" ht="14.5">
      <c r="A112" s="1" t="s">
        <v>194</v>
      </c>
      <c r="B112" s="1" t="s">
        <v>40</v>
      </c>
      <c r="C112" s="1">
        <v>0</v>
      </c>
      <c r="D112" s="1" t="s">
        <v>51</v>
      </c>
    </row>
    <row r="113" spans="1:4" ht="14.5">
      <c r="A113" s="1" t="s">
        <v>194</v>
      </c>
      <c r="B113" s="1" t="s">
        <v>48</v>
      </c>
      <c r="C113" s="1">
        <v>0</v>
      </c>
      <c r="D113" s="1" t="s">
        <v>51</v>
      </c>
    </row>
    <row r="114" spans="1:4" ht="14.5">
      <c r="A114" s="1" t="s">
        <v>196</v>
      </c>
      <c r="B114" s="1" t="s">
        <v>24</v>
      </c>
      <c r="C114" s="1">
        <v>2</v>
      </c>
      <c r="D114" s="1" t="s">
        <v>27</v>
      </c>
    </row>
    <row r="115" spans="1:4" ht="14.5">
      <c r="A115" s="1" t="s">
        <v>196</v>
      </c>
      <c r="B115" s="1" t="s">
        <v>32</v>
      </c>
      <c r="C115" s="1">
        <v>2</v>
      </c>
      <c r="D115" s="1" t="s">
        <v>27</v>
      </c>
    </row>
    <row r="116" spans="1:4" ht="14.5">
      <c r="A116" s="1" t="s">
        <v>196</v>
      </c>
      <c r="B116" s="1" t="s">
        <v>40</v>
      </c>
      <c r="C116" s="1">
        <v>0</v>
      </c>
      <c r="D116" s="1" t="s">
        <v>27</v>
      </c>
    </row>
    <row r="117" spans="1:4" ht="14.5">
      <c r="A117" s="1" t="s">
        <v>196</v>
      </c>
      <c r="B117" s="1" t="s">
        <v>48</v>
      </c>
      <c r="C117" s="1">
        <v>0</v>
      </c>
      <c r="D117" s="1" t="s">
        <v>27</v>
      </c>
    </row>
    <row r="118" spans="1:4" ht="14.5">
      <c r="A118" s="1" t="s">
        <v>199</v>
      </c>
      <c r="B118" s="1" t="s">
        <v>24</v>
      </c>
      <c r="C118" s="1">
        <v>3</v>
      </c>
      <c r="D118" s="1" t="s">
        <v>35</v>
      </c>
    </row>
    <row r="119" spans="1:4" ht="14.5">
      <c r="A119" s="1" t="s">
        <v>199</v>
      </c>
      <c r="B119" s="1" t="s">
        <v>32</v>
      </c>
      <c r="C119" s="1">
        <v>3</v>
      </c>
      <c r="D119" s="1" t="s">
        <v>35</v>
      </c>
    </row>
    <row r="120" spans="1:4" ht="14.5">
      <c r="A120" s="1" t="s">
        <v>199</v>
      </c>
      <c r="B120" s="1" t="s">
        <v>40</v>
      </c>
      <c r="C120" s="1">
        <v>3</v>
      </c>
      <c r="D120" s="1" t="s">
        <v>35</v>
      </c>
    </row>
    <row r="121" spans="1:4" ht="14.5">
      <c r="A121" s="1" t="s">
        <v>199</v>
      </c>
      <c r="B121" s="1" t="s">
        <v>48</v>
      </c>
      <c r="C121" s="1">
        <v>4</v>
      </c>
      <c r="D121" s="1" t="s">
        <v>35</v>
      </c>
    </row>
    <row r="122" spans="1:4" ht="14.5">
      <c r="A122" s="1" t="s">
        <v>202</v>
      </c>
      <c r="B122" s="1" t="s">
        <v>24</v>
      </c>
      <c r="C122" s="1">
        <v>1</v>
      </c>
      <c r="D122" s="1" t="s">
        <v>43</v>
      </c>
    </row>
    <row r="123" spans="1:4" ht="14.5">
      <c r="A123" s="1" t="s">
        <v>202</v>
      </c>
      <c r="B123" s="1" t="s">
        <v>32</v>
      </c>
      <c r="C123" s="1">
        <v>6</v>
      </c>
      <c r="D123" s="1" t="s">
        <v>43</v>
      </c>
    </row>
    <row r="124" spans="1:4" ht="14.5">
      <c r="A124" s="1" t="s">
        <v>202</v>
      </c>
      <c r="B124" s="1" t="s">
        <v>40</v>
      </c>
      <c r="C124" s="1">
        <v>0</v>
      </c>
      <c r="D124" s="1" t="s">
        <v>43</v>
      </c>
    </row>
    <row r="125" spans="1:4" ht="14.5">
      <c r="A125" s="1" t="s">
        <v>202</v>
      </c>
      <c r="B125" s="1" t="s">
        <v>48</v>
      </c>
      <c r="C125" s="1">
        <v>0</v>
      </c>
      <c r="D125" s="1" t="s">
        <v>43</v>
      </c>
    </row>
    <row r="126" spans="1:4" ht="14.5">
      <c r="A126" s="1" t="s">
        <v>206</v>
      </c>
      <c r="B126" s="1" t="s">
        <v>24</v>
      </c>
      <c r="C126" s="1">
        <v>2</v>
      </c>
      <c r="D126" s="1" t="s">
        <v>51</v>
      </c>
    </row>
    <row r="127" spans="1:4" ht="14.5">
      <c r="A127" s="1" t="s">
        <v>206</v>
      </c>
      <c r="B127" s="1" t="s">
        <v>32</v>
      </c>
      <c r="C127" s="1">
        <v>5</v>
      </c>
      <c r="D127" s="1" t="s">
        <v>51</v>
      </c>
    </row>
    <row r="128" spans="1:4" ht="14.5">
      <c r="A128" s="1" t="s">
        <v>206</v>
      </c>
      <c r="B128" s="1" t="s">
        <v>40</v>
      </c>
      <c r="C128" s="1">
        <v>5</v>
      </c>
      <c r="D128" s="1" t="s">
        <v>51</v>
      </c>
    </row>
    <row r="129" spans="1:4" ht="14.5">
      <c r="A129" s="1" t="s">
        <v>206</v>
      </c>
      <c r="B129" s="1" t="s">
        <v>48</v>
      </c>
      <c r="C129" s="1">
        <v>3</v>
      </c>
      <c r="D129" s="1" t="s">
        <v>51</v>
      </c>
    </row>
    <row r="130" spans="1:4" ht="14.5">
      <c r="A130" s="1" t="s">
        <v>208</v>
      </c>
      <c r="B130" s="1" t="s">
        <v>24</v>
      </c>
      <c r="C130" s="1">
        <v>3</v>
      </c>
      <c r="D130" s="1" t="s">
        <v>27</v>
      </c>
    </row>
    <row r="131" spans="1:4" ht="14.5">
      <c r="A131" s="1" t="s">
        <v>208</v>
      </c>
      <c r="B131" s="1" t="s">
        <v>32</v>
      </c>
      <c r="C131" s="1">
        <v>2</v>
      </c>
      <c r="D131" s="1" t="s">
        <v>27</v>
      </c>
    </row>
    <row r="132" spans="1:4" ht="14.5">
      <c r="A132" s="1" t="s">
        <v>208</v>
      </c>
      <c r="B132" s="1" t="s">
        <v>40</v>
      </c>
      <c r="C132" s="1">
        <v>0</v>
      </c>
      <c r="D132" s="1" t="s">
        <v>27</v>
      </c>
    </row>
    <row r="133" spans="1:4" ht="14.5">
      <c r="A133" s="1" t="s">
        <v>208</v>
      </c>
      <c r="B133" s="1" t="s">
        <v>48</v>
      </c>
      <c r="C133" s="1">
        <v>0</v>
      </c>
      <c r="D133" s="1" t="s">
        <v>27</v>
      </c>
    </row>
    <row r="134" spans="1:4" ht="14.5">
      <c r="A134" s="1" t="s">
        <v>211</v>
      </c>
      <c r="B134" s="1" t="s">
        <v>24</v>
      </c>
      <c r="C134" s="1">
        <v>1</v>
      </c>
      <c r="D134" s="1" t="s">
        <v>35</v>
      </c>
    </row>
    <row r="135" spans="1:4" ht="14.5">
      <c r="A135" s="1" t="s">
        <v>211</v>
      </c>
      <c r="B135" s="1" t="s">
        <v>32</v>
      </c>
      <c r="C135" s="1">
        <v>3</v>
      </c>
      <c r="D135" s="1" t="s">
        <v>35</v>
      </c>
    </row>
    <row r="136" spans="1:4" ht="14.5">
      <c r="A136" s="1" t="s">
        <v>211</v>
      </c>
      <c r="B136" s="1" t="s">
        <v>40</v>
      </c>
      <c r="C136" s="1">
        <v>3</v>
      </c>
      <c r="D136" s="1" t="s">
        <v>35</v>
      </c>
    </row>
    <row r="137" spans="1:4" ht="14.5">
      <c r="A137" s="1" t="s">
        <v>211</v>
      </c>
      <c r="B137" s="1" t="s">
        <v>48</v>
      </c>
      <c r="C137" s="1">
        <v>2</v>
      </c>
      <c r="D137" s="1" t="s">
        <v>35</v>
      </c>
    </row>
    <row r="138" spans="1:4" ht="14.5">
      <c r="A138" s="1" t="s">
        <v>214</v>
      </c>
      <c r="B138" s="1" t="s">
        <v>24</v>
      </c>
      <c r="C138" s="1">
        <v>2</v>
      </c>
      <c r="D138" s="1" t="s">
        <v>43</v>
      </c>
    </row>
    <row r="139" spans="1:4" ht="14.5">
      <c r="A139" s="1" t="s">
        <v>214</v>
      </c>
      <c r="B139" s="1" t="s">
        <v>32</v>
      </c>
      <c r="C139" s="1">
        <v>4</v>
      </c>
      <c r="D139" s="1" t="s">
        <v>43</v>
      </c>
    </row>
    <row r="140" spans="1:4" ht="14.5">
      <c r="A140" s="1" t="s">
        <v>214</v>
      </c>
      <c r="B140" s="1" t="s">
        <v>40</v>
      </c>
      <c r="C140" s="1">
        <v>0</v>
      </c>
      <c r="D140" s="1" t="s">
        <v>43</v>
      </c>
    </row>
    <row r="141" spans="1:4" ht="14.5">
      <c r="A141" s="1" t="s">
        <v>214</v>
      </c>
      <c r="B141" s="1" t="s">
        <v>48</v>
      </c>
      <c r="C141" s="1">
        <v>0</v>
      </c>
      <c r="D141" s="1" t="s">
        <v>43</v>
      </c>
    </row>
    <row r="142" spans="1:4" ht="14.5">
      <c r="A142" s="1" t="s">
        <v>216</v>
      </c>
      <c r="B142" s="1" t="s">
        <v>24</v>
      </c>
      <c r="C142" s="1">
        <v>3</v>
      </c>
      <c r="D142" s="1" t="s">
        <v>51</v>
      </c>
    </row>
    <row r="143" spans="1:4" ht="14.5">
      <c r="A143" s="1" t="s">
        <v>216</v>
      </c>
      <c r="B143" s="1" t="s">
        <v>32</v>
      </c>
      <c r="C143" s="1">
        <v>5</v>
      </c>
      <c r="D143" s="1" t="s">
        <v>51</v>
      </c>
    </row>
    <row r="144" spans="1:4" ht="14.5">
      <c r="A144" s="1" t="s">
        <v>216</v>
      </c>
      <c r="B144" s="1" t="s">
        <v>40</v>
      </c>
      <c r="C144" s="1">
        <v>5</v>
      </c>
      <c r="D144" s="1" t="s">
        <v>51</v>
      </c>
    </row>
    <row r="145" spans="1:4" ht="14.5">
      <c r="A145" s="1" t="s">
        <v>216</v>
      </c>
      <c r="B145" s="1" t="s">
        <v>48</v>
      </c>
      <c r="C145" s="1">
        <v>4</v>
      </c>
      <c r="D145" s="1" t="s">
        <v>51</v>
      </c>
    </row>
    <row r="146" spans="1:4" ht="14.5">
      <c r="A146" s="1" t="s">
        <v>219</v>
      </c>
      <c r="B146" s="1" t="s">
        <v>24</v>
      </c>
      <c r="C146" s="1">
        <v>1</v>
      </c>
      <c r="D146" s="1" t="s">
        <v>27</v>
      </c>
    </row>
    <row r="147" spans="1:4" ht="14.5">
      <c r="A147" s="1" t="s">
        <v>219</v>
      </c>
      <c r="B147" s="1" t="s">
        <v>32</v>
      </c>
      <c r="C147" s="1">
        <v>2</v>
      </c>
      <c r="D147" s="1" t="s">
        <v>27</v>
      </c>
    </row>
    <row r="148" spans="1:4" ht="14.5">
      <c r="A148" s="1" t="s">
        <v>219</v>
      </c>
      <c r="B148" s="1" t="s">
        <v>40</v>
      </c>
      <c r="C148" s="1">
        <v>0</v>
      </c>
      <c r="D148" s="1" t="s">
        <v>27</v>
      </c>
    </row>
    <row r="149" spans="1:4" ht="14.5">
      <c r="A149" s="1" t="s">
        <v>219</v>
      </c>
      <c r="B149" s="1" t="s">
        <v>48</v>
      </c>
      <c r="C149" s="1">
        <v>0</v>
      </c>
      <c r="D149" s="1" t="s">
        <v>27</v>
      </c>
    </row>
    <row r="150" spans="1:4" ht="14.5">
      <c r="A150" s="1" t="s">
        <v>221</v>
      </c>
      <c r="B150" s="1" t="s">
        <v>24</v>
      </c>
      <c r="C150" s="1">
        <v>2</v>
      </c>
      <c r="D150" s="1" t="s">
        <v>35</v>
      </c>
    </row>
    <row r="151" spans="1:4" ht="14.5">
      <c r="A151" s="1" t="s">
        <v>221</v>
      </c>
      <c r="B151" s="1" t="s">
        <v>32</v>
      </c>
      <c r="C151" s="1">
        <v>3</v>
      </c>
      <c r="D151" s="1" t="s">
        <v>35</v>
      </c>
    </row>
    <row r="152" spans="1:4" ht="14.5">
      <c r="A152" s="1" t="s">
        <v>221</v>
      </c>
      <c r="B152" s="1" t="s">
        <v>40</v>
      </c>
      <c r="C152" s="1">
        <v>3</v>
      </c>
      <c r="D152" s="1" t="s">
        <v>35</v>
      </c>
    </row>
    <row r="153" spans="1:4" ht="14.5">
      <c r="A153" s="1" t="s">
        <v>221</v>
      </c>
      <c r="B153" s="1" t="s">
        <v>48</v>
      </c>
      <c r="C153" s="1">
        <v>3</v>
      </c>
      <c r="D153" s="1" t="s">
        <v>35</v>
      </c>
    </row>
    <row r="154" spans="1:4" ht="14.5">
      <c r="A154" s="1" t="s">
        <v>223</v>
      </c>
      <c r="B154" s="1" t="s">
        <v>24</v>
      </c>
      <c r="C154" s="1">
        <v>3</v>
      </c>
      <c r="D154" s="1" t="s">
        <v>43</v>
      </c>
    </row>
    <row r="155" spans="1:4" ht="14.5">
      <c r="A155" s="1" t="s">
        <v>223</v>
      </c>
      <c r="B155" s="1" t="s">
        <v>32</v>
      </c>
      <c r="C155" s="1">
        <v>4</v>
      </c>
      <c r="D155" s="1" t="s">
        <v>43</v>
      </c>
    </row>
    <row r="156" spans="1:4" ht="14.5">
      <c r="A156" s="1" t="s">
        <v>223</v>
      </c>
      <c r="B156" s="1" t="s">
        <v>40</v>
      </c>
      <c r="C156" s="1">
        <v>4</v>
      </c>
      <c r="D156" s="1" t="s">
        <v>43</v>
      </c>
    </row>
    <row r="157" spans="1:4" ht="14.5">
      <c r="A157" s="1" t="s">
        <v>223</v>
      </c>
      <c r="B157" s="1" t="s">
        <v>48</v>
      </c>
      <c r="C157" s="1">
        <v>4</v>
      </c>
      <c r="D157" s="1" t="s">
        <v>43</v>
      </c>
    </row>
    <row r="158" spans="1:4" ht="14.5">
      <c r="A158" s="1" t="s">
        <v>225</v>
      </c>
      <c r="B158" s="1" t="s">
        <v>24</v>
      </c>
      <c r="C158" s="1">
        <v>1</v>
      </c>
      <c r="D158" s="1" t="s">
        <v>51</v>
      </c>
    </row>
    <row r="159" spans="1:4" ht="14.5">
      <c r="A159" s="1" t="s">
        <v>225</v>
      </c>
      <c r="B159" s="1" t="s">
        <v>32</v>
      </c>
      <c r="C159" s="1">
        <v>10</v>
      </c>
      <c r="D159" s="1" t="s">
        <v>51</v>
      </c>
    </row>
    <row r="160" spans="1:4" ht="14.5">
      <c r="A160" s="1" t="s">
        <v>225</v>
      </c>
      <c r="B160" s="1" t="s">
        <v>40</v>
      </c>
      <c r="C160" s="1">
        <v>5</v>
      </c>
      <c r="D160" s="1" t="s">
        <v>51</v>
      </c>
    </row>
    <row r="161" spans="1:4" ht="14.5">
      <c r="A161" s="1" t="s">
        <v>225</v>
      </c>
      <c r="B161" s="1" t="s">
        <v>48</v>
      </c>
      <c r="C161" s="1">
        <v>2</v>
      </c>
      <c r="D161" s="1" t="s">
        <v>51</v>
      </c>
    </row>
    <row r="162" spans="1:4" ht="14.5">
      <c r="A162" s="1" t="s">
        <v>227</v>
      </c>
      <c r="B162" s="1" t="s">
        <v>24</v>
      </c>
      <c r="C162" s="1">
        <v>2</v>
      </c>
      <c r="D162" s="1" t="s">
        <v>27</v>
      </c>
    </row>
    <row r="163" spans="1:4" ht="14.5">
      <c r="A163" s="1" t="s">
        <v>227</v>
      </c>
      <c r="B163" s="1" t="s">
        <v>32</v>
      </c>
      <c r="C163" s="1">
        <v>7</v>
      </c>
      <c r="D163" s="1" t="s">
        <v>27</v>
      </c>
    </row>
    <row r="164" spans="1:4" ht="14.5">
      <c r="A164" s="1" t="s">
        <v>227</v>
      </c>
      <c r="B164" s="1" t="s">
        <v>40</v>
      </c>
      <c r="C164" s="1">
        <v>0</v>
      </c>
      <c r="D164" s="1" t="s">
        <v>27</v>
      </c>
    </row>
    <row r="165" spans="1:4" ht="14.5">
      <c r="A165" s="1" t="s">
        <v>227</v>
      </c>
      <c r="B165" s="1" t="s">
        <v>48</v>
      </c>
      <c r="C165" s="1">
        <v>0</v>
      </c>
      <c r="D165" s="1" t="s">
        <v>27</v>
      </c>
    </row>
    <row r="166" spans="1:4" ht="14.5">
      <c r="A166" s="1" t="s">
        <v>230</v>
      </c>
      <c r="B166" s="1" t="s">
        <v>24</v>
      </c>
      <c r="C166" s="1">
        <v>3</v>
      </c>
      <c r="D166" s="1" t="s">
        <v>35</v>
      </c>
    </row>
    <row r="167" spans="1:4" ht="14.5">
      <c r="A167" s="1" t="s">
        <v>230</v>
      </c>
      <c r="B167" s="1" t="s">
        <v>32</v>
      </c>
      <c r="C167" s="1">
        <v>3</v>
      </c>
      <c r="D167" s="1" t="s">
        <v>35</v>
      </c>
    </row>
    <row r="168" spans="1:4" ht="14.5">
      <c r="A168" s="1" t="s">
        <v>230</v>
      </c>
      <c r="B168" s="1" t="s">
        <v>40</v>
      </c>
      <c r="C168" s="1">
        <v>3</v>
      </c>
      <c r="D168" s="1" t="s">
        <v>35</v>
      </c>
    </row>
    <row r="169" spans="1:4" ht="14.5">
      <c r="A169" s="1" t="s">
        <v>230</v>
      </c>
      <c r="B169" s="1" t="s">
        <v>48</v>
      </c>
      <c r="C169" s="1">
        <v>4</v>
      </c>
      <c r="D169" s="1" t="s">
        <v>35</v>
      </c>
    </row>
    <row r="170" spans="1:4" ht="14.5">
      <c r="A170" s="1" t="s">
        <v>231</v>
      </c>
      <c r="B170" s="1" t="s">
        <v>24</v>
      </c>
      <c r="C170" s="1">
        <v>1</v>
      </c>
      <c r="D170" s="1" t="s">
        <v>43</v>
      </c>
    </row>
    <row r="171" spans="1:4" ht="14.5">
      <c r="A171" s="1" t="s">
        <v>231</v>
      </c>
      <c r="B171" s="1" t="s">
        <v>32</v>
      </c>
      <c r="C171" s="1">
        <v>4</v>
      </c>
      <c r="D171" s="1" t="s">
        <v>43</v>
      </c>
    </row>
    <row r="172" spans="1:4" ht="14.5">
      <c r="A172" s="1" t="s">
        <v>231</v>
      </c>
      <c r="B172" s="1" t="s">
        <v>40</v>
      </c>
      <c r="C172" s="1">
        <v>4</v>
      </c>
      <c r="D172" s="1" t="s">
        <v>43</v>
      </c>
    </row>
    <row r="173" spans="1:4" ht="14.5">
      <c r="A173" s="1" t="s">
        <v>231</v>
      </c>
      <c r="B173" s="1" t="s">
        <v>48</v>
      </c>
      <c r="C173" s="1">
        <v>2</v>
      </c>
      <c r="D173" s="1" t="s">
        <v>43</v>
      </c>
    </row>
    <row r="174" spans="1:4" ht="14.5">
      <c r="A174" s="1" t="s">
        <v>232</v>
      </c>
      <c r="B174" s="1" t="s">
        <v>24</v>
      </c>
      <c r="C174" s="1">
        <v>2</v>
      </c>
      <c r="D174" s="1" t="s">
        <v>51</v>
      </c>
    </row>
    <row r="175" spans="1:4" ht="14.5">
      <c r="A175" s="1" t="s">
        <v>232</v>
      </c>
      <c r="B175" s="1" t="s">
        <v>32</v>
      </c>
      <c r="C175" s="1">
        <v>5</v>
      </c>
      <c r="D175" s="1" t="s">
        <v>51</v>
      </c>
    </row>
    <row r="176" spans="1:4" ht="14.5">
      <c r="A176" s="1" t="s">
        <v>232</v>
      </c>
      <c r="B176" s="1" t="s">
        <v>40</v>
      </c>
      <c r="C176" s="1">
        <v>0</v>
      </c>
      <c r="D176" s="1" t="s">
        <v>51</v>
      </c>
    </row>
    <row r="177" spans="1:4" ht="14.5">
      <c r="A177" s="1" t="s">
        <v>232</v>
      </c>
      <c r="B177" s="1" t="s">
        <v>48</v>
      </c>
      <c r="C177" s="1">
        <v>0</v>
      </c>
      <c r="D177" s="1" t="s">
        <v>51</v>
      </c>
    </row>
    <row r="178" spans="1:4" ht="14.5">
      <c r="A178" s="1" t="s">
        <v>233</v>
      </c>
      <c r="B178" s="1" t="s">
        <v>24</v>
      </c>
      <c r="C178" s="1">
        <v>3</v>
      </c>
      <c r="D178" s="1" t="s">
        <v>27</v>
      </c>
    </row>
    <row r="179" spans="1:4" ht="14.5">
      <c r="A179" s="1" t="s">
        <v>233</v>
      </c>
      <c r="B179" s="1" t="s">
        <v>32</v>
      </c>
      <c r="C179" s="1">
        <v>2</v>
      </c>
      <c r="D179" s="1" t="s">
        <v>27</v>
      </c>
    </row>
    <row r="180" spans="1:4" ht="14.5">
      <c r="A180" s="1" t="s">
        <v>233</v>
      </c>
      <c r="B180" s="1" t="s">
        <v>40</v>
      </c>
      <c r="C180" s="1">
        <v>0</v>
      </c>
      <c r="D180" s="1" t="s">
        <v>27</v>
      </c>
    </row>
    <row r="181" spans="1:4" ht="14.5">
      <c r="A181" s="1" t="s">
        <v>233</v>
      </c>
      <c r="B181" s="1" t="s">
        <v>48</v>
      </c>
      <c r="C181" s="1">
        <v>0</v>
      </c>
      <c r="D181" s="1" t="s">
        <v>27</v>
      </c>
    </row>
    <row r="182" spans="1:4" ht="14.5">
      <c r="A182" s="1" t="s">
        <v>235</v>
      </c>
      <c r="B182" s="1" t="s">
        <v>24</v>
      </c>
      <c r="C182" s="1">
        <v>1</v>
      </c>
      <c r="D182" s="1" t="s">
        <v>35</v>
      </c>
    </row>
    <row r="183" spans="1:4" ht="14.5">
      <c r="A183" s="1" t="s">
        <v>235</v>
      </c>
      <c r="B183" s="1" t="s">
        <v>32</v>
      </c>
      <c r="C183" s="1">
        <v>3</v>
      </c>
      <c r="D183" s="1" t="s">
        <v>35</v>
      </c>
    </row>
    <row r="184" spans="1:4" ht="14.5">
      <c r="A184" s="1" t="s">
        <v>235</v>
      </c>
      <c r="B184" s="1" t="s">
        <v>40</v>
      </c>
      <c r="C184" s="1">
        <v>0</v>
      </c>
      <c r="D184" s="1" t="s">
        <v>35</v>
      </c>
    </row>
    <row r="185" spans="1:4" ht="14.5">
      <c r="A185" s="1" t="s">
        <v>235</v>
      </c>
      <c r="B185" s="1" t="s">
        <v>48</v>
      </c>
      <c r="C185" s="1">
        <v>0</v>
      </c>
      <c r="D185" s="1" t="s">
        <v>35</v>
      </c>
    </row>
    <row r="186" spans="1:4" ht="14.5">
      <c r="A186" s="1" t="s">
        <v>237</v>
      </c>
      <c r="B186" s="1" t="s">
        <v>24</v>
      </c>
      <c r="C186" s="1">
        <v>2</v>
      </c>
      <c r="D186" s="1" t="s">
        <v>43</v>
      </c>
    </row>
    <row r="187" spans="1:4" ht="14.5">
      <c r="A187" s="1" t="s">
        <v>237</v>
      </c>
      <c r="B187" s="1" t="s">
        <v>32</v>
      </c>
      <c r="C187" s="1">
        <v>4</v>
      </c>
      <c r="D187" s="1" t="s">
        <v>43</v>
      </c>
    </row>
    <row r="188" spans="1:4" ht="14.5">
      <c r="A188" s="1" t="s">
        <v>237</v>
      </c>
      <c r="B188" s="1" t="s">
        <v>40</v>
      </c>
      <c r="C188" s="1">
        <v>4</v>
      </c>
      <c r="D188" s="1" t="s">
        <v>43</v>
      </c>
    </row>
    <row r="189" spans="1:4" ht="14.5">
      <c r="A189" s="1" t="s">
        <v>237</v>
      </c>
      <c r="B189" s="1" t="s">
        <v>48</v>
      </c>
      <c r="C189" s="1">
        <v>3</v>
      </c>
      <c r="D189" s="1" t="s">
        <v>43</v>
      </c>
    </row>
    <row r="190" spans="1:4" ht="14.5">
      <c r="A190" s="1" t="s">
        <v>238</v>
      </c>
      <c r="B190" s="1" t="s">
        <v>24</v>
      </c>
      <c r="C190" s="1">
        <v>3</v>
      </c>
      <c r="D190" s="1" t="s">
        <v>51</v>
      </c>
    </row>
    <row r="191" spans="1:4" ht="14.5">
      <c r="A191" s="1" t="s">
        <v>238</v>
      </c>
      <c r="B191" s="1" t="s">
        <v>32</v>
      </c>
      <c r="C191" s="1">
        <v>5</v>
      </c>
      <c r="D191" s="1" t="s">
        <v>51</v>
      </c>
    </row>
    <row r="192" spans="1:4" ht="14.5">
      <c r="A192" s="1" t="s">
        <v>238</v>
      </c>
      <c r="B192" s="1" t="s">
        <v>40</v>
      </c>
      <c r="C192" s="1">
        <v>5</v>
      </c>
      <c r="D192" s="1" t="s">
        <v>51</v>
      </c>
    </row>
    <row r="193" spans="1:4" ht="14.5">
      <c r="A193" s="1" t="s">
        <v>238</v>
      </c>
      <c r="B193" s="1" t="s">
        <v>48</v>
      </c>
      <c r="C193" s="1">
        <v>4</v>
      </c>
      <c r="D193" s="1" t="s">
        <v>51</v>
      </c>
    </row>
    <row r="194" spans="1:4" ht="14.5">
      <c r="A194" s="1" t="s">
        <v>239</v>
      </c>
      <c r="B194" s="1" t="s">
        <v>24</v>
      </c>
      <c r="C194" s="1">
        <v>1</v>
      </c>
      <c r="D194" s="1" t="s">
        <v>27</v>
      </c>
    </row>
    <row r="195" spans="1:4" ht="14.5">
      <c r="A195" s="1" t="s">
        <v>239</v>
      </c>
      <c r="B195" s="1" t="s">
        <v>32</v>
      </c>
      <c r="C195" s="1">
        <v>2</v>
      </c>
      <c r="D195" s="1" t="s">
        <v>27</v>
      </c>
    </row>
    <row r="196" spans="1:4" ht="14.5">
      <c r="A196" s="1" t="s">
        <v>239</v>
      </c>
      <c r="B196" s="1" t="s">
        <v>40</v>
      </c>
      <c r="C196" s="1">
        <v>0</v>
      </c>
      <c r="D196" s="1" t="s">
        <v>27</v>
      </c>
    </row>
    <row r="197" spans="1:4" ht="14.5">
      <c r="A197" s="1" t="s">
        <v>239</v>
      </c>
      <c r="B197" s="1" t="s">
        <v>48</v>
      </c>
      <c r="C197" s="1">
        <v>0</v>
      </c>
      <c r="D197" s="1" t="s">
        <v>27</v>
      </c>
    </row>
    <row r="198" spans="1:4" ht="14.5">
      <c r="A198" s="1" t="s">
        <v>240</v>
      </c>
      <c r="B198" s="1" t="s">
        <v>24</v>
      </c>
      <c r="C198" s="1">
        <v>2</v>
      </c>
      <c r="D198" s="1" t="s">
        <v>35</v>
      </c>
    </row>
    <row r="199" spans="1:4" ht="14.5">
      <c r="A199" s="1" t="s">
        <v>240</v>
      </c>
      <c r="B199" s="1" t="s">
        <v>32</v>
      </c>
      <c r="C199" s="1">
        <v>3</v>
      </c>
      <c r="D199" s="1" t="s">
        <v>35</v>
      </c>
    </row>
    <row r="200" spans="1:4" ht="14.5">
      <c r="A200" s="1" t="s">
        <v>240</v>
      </c>
      <c r="B200" s="1" t="s">
        <v>40</v>
      </c>
      <c r="C200" s="1">
        <v>3</v>
      </c>
      <c r="D200" s="1" t="s">
        <v>35</v>
      </c>
    </row>
    <row r="201" spans="1:4" ht="14.5">
      <c r="A201" s="1" t="s">
        <v>240</v>
      </c>
      <c r="B201" s="1" t="s">
        <v>48</v>
      </c>
      <c r="C201" s="1">
        <v>3</v>
      </c>
      <c r="D201" s="1" t="s">
        <v>35</v>
      </c>
    </row>
    <row r="202" spans="1:4" ht="14.5">
      <c r="A202" s="1" t="s">
        <v>241</v>
      </c>
      <c r="B202" s="1" t="s">
        <v>24</v>
      </c>
      <c r="C202" s="1">
        <v>3</v>
      </c>
      <c r="D202" s="1" t="s">
        <v>43</v>
      </c>
    </row>
    <row r="203" spans="1:4" ht="14.5">
      <c r="A203" s="1" t="s">
        <v>241</v>
      </c>
      <c r="B203" s="1" t="s">
        <v>32</v>
      </c>
      <c r="C203" s="1">
        <v>8</v>
      </c>
      <c r="D203" s="1" t="s">
        <v>43</v>
      </c>
    </row>
    <row r="204" spans="1:4" ht="14.5">
      <c r="A204" s="1" t="s">
        <v>241</v>
      </c>
      <c r="B204" s="1" t="s">
        <v>40</v>
      </c>
      <c r="C204" s="1">
        <v>0</v>
      </c>
      <c r="D204" s="1" t="s">
        <v>43</v>
      </c>
    </row>
    <row r="205" spans="1:4" ht="14.5">
      <c r="A205" s="1" t="s">
        <v>241</v>
      </c>
      <c r="B205" s="1" t="s">
        <v>48</v>
      </c>
      <c r="C205" s="1">
        <v>0</v>
      </c>
      <c r="D205" s="1" t="s">
        <v>43</v>
      </c>
    </row>
    <row r="206" spans="1:4" ht="14.5">
      <c r="A206" s="1" t="s">
        <v>243</v>
      </c>
      <c r="B206" s="1" t="s">
        <v>24</v>
      </c>
      <c r="C206" s="1">
        <v>1</v>
      </c>
      <c r="D206" s="1" t="s">
        <v>51</v>
      </c>
    </row>
    <row r="207" spans="1:4" ht="14.5">
      <c r="A207" s="1" t="s">
        <v>243</v>
      </c>
      <c r="B207" s="1" t="s">
        <v>32</v>
      </c>
      <c r="C207" s="1">
        <v>5</v>
      </c>
      <c r="D207" s="1" t="s">
        <v>51</v>
      </c>
    </row>
    <row r="208" spans="1:4" ht="14.5">
      <c r="A208" s="1" t="s">
        <v>243</v>
      </c>
      <c r="B208" s="1" t="s">
        <v>40</v>
      </c>
      <c r="C208" s="1">
        <v>5</v>
      </c>
      <c r="D208" s="1" t="s">
        <v>51</v>
      </c>
    </row>
    <row r="209" spans="1:4" ht="14.5">
      <c r="A209" s="1" t="s">
        <v>243</v>
      </c>
      <c r="B209" s="1" t="s">
        <v>48</v>
      </c>
      <c r="C209" s="1">
        <v>2</v>
      </c>
      <c r="D209" s="1" t="s">
        <v>51</v>
      </c>
    </row>
    <row r="210" spans="1:4" ht="14.5">
      <c r="A210" s="1" t="s">
        <v>245</v>
      </c>
      <c r="B210" s="1" t="s">
        <v>24</v>
      </c>
      <c r="C210" s="1">
        <v>2</v>
      </c>
      <c r="D210" s="1" t="s">
        <v>27</v>
      </c>
    </row>
    <row r="211" spans="1:4" ht="14.5">
      <c r="A211" s="1" t="s">
        <v>245</v>
      </c>
      <c r="B211" s="1" t="s">
        <v>32</v>
      </c>
      <c r="C211" s="1">
        <v>7</v>
      </c>
      <c r="D211" s="1" t="s">
        <v>27</v>
      </c>
    </row>
    <row r="212" spans="1:4" ht="14.5">
      <c r="A212" s="1" t="s">
        <v>245</v>
      </c>
      <c r="B212" s="1" t="s">
        <v>40</v>
      </c>
      <c r="C212" s="1">
        <v>0</v>
      </c>
      <c r="D212" s="1" t="s">
        <v>27</v>
      </c>
    </row>
    <row r="213" spans="1:4" ht="14.5">
      <c r="A213" s="1" t="s">
        <v>245</v>
      </c>
      <c r="B213" s="1" t="s">
        <v>48</v>
      </c>
      <c r="C213" s="1">
        <v>0</v>
      </c>
      <c r="D213" s="1" t="s">
        <v>27</v>
      </c>
    </row>
    <row r="214" spans="1:4" ht="14.5">
      <c r="A214" s="1" t="s">
        <v>249</v>
      </c>
      <c r="B214" s="1" t="s">
        <v>24</v>
      </c>
      <c r="C214" s="1">
        <v>3</v>
      </c>
      <c r="D214" s="1" t="s">
        <v>35</v>
      </c>
    </row>
    <row r="215" spans="1:4" ht="14.5">
      <c r="A215" s="1" t="s">
        <v>249</v>
      </c>
      <c r="B215" s="1" t="s">
        <v>32</v>
      </c>
      <c r="C215" s="1">
        <v>3</v>
      </c>
      <c r="D215" s="1" t="s">
        <v>35</v>
      </c>
    </row>
    <row r="216" spans="1:4" ht="14.5">
      <c r="A216" s="1" t="s">
        <v>249</v>
      </c>
      <c r="B216" s="1" t="s">
        <v>40</v>
      </c>
      <c r="C216" s="1">
        <v>0</v>
      </c>
      <c r="D216" s="1" t="s">
        <v>35</v>
      </c>
    </row>
    <row r="217" spans="1:4" ht="14.5">
      <c r="A217" s="1" t="s">
        <v>249</v>
      </c>
      <c r="B217" s="1" t="s">
        <v>48</v>
      </c>
      <c r="C217" s="1">
        <v>0</v>
      </c>
      <c r="D217" s="1" t="s">
        <v>35</v>
      </c>
    </row>
    <row r="218" spans="1:4" ht="14.5">
      <c r="A218" s="1" t="s">
        <v>251</v>
      </c>
      <c r="B218" s="1" t="s">
        <v>24</v>
      </c>
      <c r="C218" s="1">
        <v>1</v>
      </c>
      <c r="D218" s="1" t="s">
        <v>43</v>
      </c>
    </row>
    <row r="219" spans="1:4" ht="14.5">
      <c r="A219" s="1" t="s">
        <v>251</v>
      </c>
      <c r="B219" s="1" t="s">
        <v>32</v>
      </c>
      <c r="C219" s="1">
        <v>4</v>
      </c>
      <c r="D219" s="1" t="s">
        <v>43</v>
      </c>
    </row>
    <row r="220" spans="1:4" ht="14.5">
      <c r="A220" s="1" t="s">
        <v>251</v>
      </c>
      <c r="B220" s="1" t="s">
        <v>40</v>
      </c>
      <c r="C220" s="1">
        <v>4</v>
      </c>
      <c r="D220" s="1" t="s">
        <v>43</v>
      </c>
    </row>
    <row r="221" spans="1:4" ht="14.5">
      <c r="A221" s="1" t="s">
        <v>251</v>
      </c>
      <c r="B221" s="1" t="s">
        <v>48</v>
      </c>
      <c r="C221" s="1">
        <v>2</v>
      </c>
      <c r="D221" s="1" t="s">
        <v>43</v>
      </c>
    </row>
    <row r="222" spans="1:4" ht="14.5">
      <c r="A222" s="1" t="s">
        <v>254</v>
      </c>
      <c r="B222" s="1" t="s">
        <v>24</v>
      </c>
      <c r="C222" s="1">
        <v>2</v>
      </c>
      <c r="D222" s="1" t="s">
        <v>51</v>
      </c>
    </row>
    <row r="223" spans="1:4" ht="14.5">
      <c r="A223" s="1" t="s">
        <v>254</v>
      </c>
      <c r="B223" s="1" t="s">
        <v>32</v>
      </c>
      <c r="C223" s="1">
        <v>5</v>
      </c>
      <c r="D223" s="1" t="s">
        <v>51</v>
      </c>
    </row>
    <row r="224" spans="1:4" ht="14.5">
      <c r="A224" s="1" t="s">
        <v>254</v>
      </c>
      <c r="B224" s="1" t="s">
        <v>40</v>
      </c>
      <c r="C224" s="1">
        <v>5</v>
      </c>
      <c r="D224" s="1" t="s">
        <v>51</v>
      </c>
    </row>
    <row r="225" spans="1:4" ht="14.5">
      <c r="A225" s="1" t="s">
        <v>254</v>
      </c>
      <c r="B225" s="1" t="s">
        <v>48</v>
      </c>
      <c r="C225" s="1">
        <v>3</v>
      </c>
      <c r="D225" s="1" t="s">
        <v>51</v>
      </c>
    </row>
    <row r="226" spans="1:4" ht="14.5">
      <c r="A226" s="1" t="s">
        <v>258</v>
      </c>
      <c r="B226" s="1" t="s">
        <v>24</v>
      </c>
      <c r="C226" s="1">
        <v>3</v>
      </c>
      <c r="D226" s="1" t="s">
        <v>27</v>
      </c>
    </row>
    <row r="227" spans="1:4" ht="14.5">
      <c r="A227" s="1" t="s">
        <v>258</v>
      </c>
      <c r="B227" s="1" t="s">
        <v>32</v>
      </c>
      <c r="C227" s="1">
        <v>2</v>
      </c>
      <c r="D227" s="1" t="s">
        <v>27</v>
      </c>
    </row>
    <row r="228" spans="1:4" ht="14.5">
      <c r="A228" s="1" t="s">
        <v>258</v>
      </c>
      <c r="B228" s="1" t="s">
        <v>40</v>
      </c>
      <c r="C228" s="1">
        <v>0</v>
      </c>
      <c r="D228" s="1" t="s">
        <v>27</v>
      </c>
    </row>
    <row r="229" spans="1:4" ht="14.5">
      <c r="A229" s="1" t="s">
        <v>258</v>
      </c>
      <c r="B229" s="1" t="s">
        <v>48</v>
      </c>
      <c r="C229" s="1">
        <v>0</v>
      </c>
      <c r="D229" s="1" t="s">
        <v>27</v>
      </c>
    </row>
    <row r="230" spans="1:4" ht="14.5">
      <c r="A230" s="1" t="s">
        <v>259</v>
      </c>
      <c r="B230" s="1" t="s">
        <v>24</v>
      </c>
      <c r="C230" s="1">
        <v>1</v>
      </c>
      <c r="D230" s="1" t="s">
        <v>35</v>
      </c>
    </row>
    <row r="231" spans="1:4" ht="14.5">
      <c r="A231" s="1" t="s">
        <v>259</v>
      </c>
      <c r="B231" s="1" t="s">
        <v>32</v>
      </c>
      <c r="C231" s="1">
        <v>3</v>
      </c>
      <c r="D231" s="1" t="s">
        <v>35</v>
      </c>
    </row>
    <row r="232" spans="1:4" ht="14.5">
      <c r="A232" s="1" t="s">
        <v>259</v>
      </c>
      <c r="B232" s="1" t="s">
        <v>40</v>
      </c>
      <c r="C232" s="1">
        <v>3</v>
      </c>
      <c r="D232" s="1" t="s">
        <v>35</v>
      </c>
    </row>
    <row r="233" spans="1:4" ht="14.5">
      <c r="A233" s="1" t="s">
        <v>259</v>
      </c>
      <c r="B233" s="1" t="s">
        <v>48</v>
      </c>
      <c r="C233" s="1">
        <v>2</v>
      </c>
      <c r="D233" s="1" t="s">
        <v>35</v>
      </c>
    </row>
    <row r="234" spans="1:4" ht="14.5">
      <c r="A234" s="1" t="s">
        <v>260</v>
      </c>
      <c r="B234" s="1" t="s">
        <v>24</v>
      </c>
      <c r="C234" s="1">
        <v>2</v>
      </c>
      <c r="D234" s="1" t="s">
        <v>43</v>
      </c>
    </row>
    <row r="235" spans="1:4" ht="14.5">
      <c r="A235" s="1" t="s">
        <v>260</v>
      </c>
      <c r="B235" s="1" t="s">
        <v>32</v>
      </c>
      <c r="C235" s="1">
        <v>4</v>
      </c>
      <c r="D235" s="1" t="s">
        <v>43</v>
      </c>
    </row>
    <row r="236" spans="1:4" ht="14.5">
      <c r="A236" s="1" t="s">
        <v>260</v>
      </c>
      <c r="B236" s="1" t="s">
        <v>40</v>
      </c>
      <c r="C236" s="1">
        <v>4</v>
      </c>
      <c r="D236" s="1" t="s">
        <v>43</v>
      </c>
    </row>
    <row r="237" spans="1:4" ht="14.5">
      <c r="A237" s="1" t="s">
        <v>260</v>
      </c>
      <c r="B237" s="1" t="s">
        <v>48</v>
      </c>
      <c r="C237" s="1">
        <v>3</v>
      </c>
      <c r="D237" s="1" t="s">
        <v>43</v>
      </c>
    </row>
    <row r="238" spans="1:4" ht="14.5">
      <c r="A238" s="1" t="s">
        <v>261</v>
      </c>
      <c r="B238" s="1" t="s">
        <v>24</v>
      </c>
      <c r="C238" s="1">
        <v>3</v>
      </c>
      <c r="D238" s="1" t="s">
        <v>51</v>
      </c>
    </row>
    <row r="239" spans="1:4" ht="14.5">
      <c r="A239" s="1" t="s">
        <v>261</v>
      </c>
      <c r="B239" s="1" t="s">
        <v>32</v>
      </c>
      <c r="C239" s="1">
        <v>5</v>
      </c>
      <c r="D239" s="1" t="s">
        <v>51</v>
      </c>
    </row>
    <row r="240" spans="1:4" ht="14.5">
      <c r="A240" s="1" t="s">
        <v>261</v>
      </c>
      <c r="B240" s="1" t="s">
        <v>40</v>
      </c>
      <c r="C240" s="1">
        <v>0</v>
      </c>
      <c r="D240" s="1" t="s">
        <v>51</v>
      </c>
    </row>
    <row r="241" spans="1:4" ht="14.5">
      <c r="A241" s="1" t="s">
        <v>261</v>
      </c>
      <c r="B241" s="1" t="s">
        <v>48</v>
      </c>
      <c r="C241" s="1">
        <v>0</v>
      </c>
      <c r="D241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4"/>
  <sheetData>
    <row r="1" spans="1:8" ht="14.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ht="14.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</row>
    <row r="3" spans="1:8" ht="14.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ht="14.5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</row>
    <row r="5" spans="1:8" ht="14.5">
      <c r="A5" s="1" t="s">
        <v>47</v>
      </c>
      <c r="B5" s="1" t="s">
        <v>48</v>
      </c>
      <c r="C5" s="1" t="s">
        <v>49</v>
      </c>
      <c r="D5" s="1" t="s">
        <v>50</v>
      </c>
      <c r="E5" s="1" t="s">
        <v>51</v>
      </c>
      <c r="F5" s="1"/>
      <c r="G5" s="1" t="s">
        <v>52</v>
      </c>
      <c r="H5" s="1"/>
    </row>
    <row r="6" spans="1:8" ht="14.5">
      <c r="A6" s="1" t="s">
        <v>53</v>
      </c>
      <c r="B6" s="1" t="s">
        <v>47</v>
      </c>
      <c r="C6" s="1" t="s">
        <v>54</v>
      </c>
      <c r="D6" s="1" t="s">
        <v>55</v>
      </c>
      <c r="E6" s="1"/>
      <c r="F6" s="1"/>
      <c r="G6" s="1" t="s">
        <v>56</v>
      </c>
      <c r="H6" s="1"/>
    </row>
    <row r="7" spans="1:8" ht="14.5">
      <c r="A7" s="1" t="s">
        <v>57</v>
      </c>
      <c r="B7" s="1" t="s">
        <v>39</v>
      </c>
      <c r="C7" s="1" t="s">
        <v>58</v>
      </c>
      <c r="D7" s="1"/>
      <c r="E7" s="1"/>
      <c r="F7" s="1"/>
      <c r="G7" s="1" t="s">
        <v>59</v>
      </c>
      <c r="H7" s="1"/>
    </row>
    <row r="8" spans="1:8" ht="14.5">
      <c r="A8" s="1"/>
      <c r="B8" s="1" t="s">
        <v>60</v>
      </c>
      <c r="C8" s="1" t="s">
        <v>61</v>
      </c>
      <c r="D8" s="1"/>
      <c r="E8" s="1"/>
      <c r="F8" s="1"/>
      <c r="G8" s="1" t="s">
        <v>62</v>
      </c>
      <c r="H8" s="1"/>
    </row>
    <row r="9" spans="1:8" ht="14.5">
      <c r="A9" s="1"/>
      <c r="B9" s="1" t="s">
        <v>63</v>
      </c>
      <c r="C9" s="1" t="s">
        <v>64</v>
      </c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1. Opportunity Register</vt:lpstr>
      <vt:lpstr>2. Executive Dashboard</vt:lpstr>
      <vt:lpstr>3. Active Pipeline</vt:lpstr>
      <vt:lpstr>4. Bid-No-Bid Intelligence</vt:lpstr>
      <vt:lpstr>5. Post-Bid Analysis</vt:lpstr>
      <vt:lpstr>6. Workflow Intelligence</vt:lpstr>
      <vt:lpstr>7. Opportunity Detail</vt:lpstr>
      <vt:lpstr>8. Workflow Events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Ngo</cp:lastModifiedBy>
  <dcterms:modified xsi:type="dcterms:W3CDTF">2026-08-19T20:16:25Z</dcterms:modified>
</cp:coreProperties>
</file>